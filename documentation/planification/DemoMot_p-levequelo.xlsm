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levequelo\DemoMot_2019\documentation\planification\"/>
    </mc:Choice>
  </mc:AlternateContent>
  <bookViews>
    <workbookView xWindow="0" yWindow="0" windowWidth="28800" windowHeight="12300" activeTab="7"/>
  </bookViews>
  <sheets>
    <sheet name="Donnees" sheetId="7" r:id="rId1"/>
    <sheet name="Diagramme" sheetId="164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2" r:id="rId7"/>
    <sheet name="JNLTRAV" sheetId="165" r:id="rId8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Planning!$A$1:$D$21</definedName>
    <definedName name="objPlanifWeek">PlanificationWeek!$A$1:$D$14</definedName>
    <definedName name="objRealizedWeek" localSheetId="5">achievementWeek!$A$1:$D$19</definedName>
    <definedName name="objRealizedWeek" localSheetId="7">JNLTRAV!$A$1:$D$23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65" l="1"/>
  <c r="D24" i="165" s="1"/>
  <c r="D44" i="165" s="1"/>
  <c r="D63" i="165" s="1"/>
  <c r="D82" i="165" s="1"/>
  <c r="B99" i="165"/>
  <c r="B80" i="165"/>
  <c r="B61" i="165"/>
  <c r="B42" i="165"/>
  <c r="B22" i="165"/>
  <c r="B39" i="164"/>
  <c r="B37" i="164"/>
  <c r="B35" i="164"/>
  <c r="B33" i="164"/>
  <c r="B31" i="164"/>
  <c r="B29" i="164"/>
  <c r="B27" i="164"/>
  <c r="B25" i="164"/>
  <c r="B23" i="164"/>
  <c r="B21" i="164"/>
  <c r="B19" i="164"/>
  <c r="B17" i="164"/>
  <c r="B15" i="164"/>
  <c r="B13" i="164"/>
  <c r="B11" i="164"/>
  <c r="B9" i="164"/>
  <c r="B7" i="164"/>
  <c r="B5" i="164"/>
  <c r="C42" i="164"/>
  <c r="C41" i="164"/>
  <c r="B82" i="162"/>
  <c r="B67" i="162"/>
  <c r="B53" i="162"/>
  <c r="B36" i="162"/>
  <c r="B20" i="162"/>
  <c r="B18" i="154" l="1"/>
  <c r="B13" i="11" l="1"/>
</calcChain>
</file>

<file path=xl/sharedStrings.xml><?xml version="1.0" encoding="utf-8"?>
<sst xmlns="http://schemas.openxmlformats.org/spreadsheetml/2006/main" count="289" uniqueCount="107">
  <si>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</si>
  <si>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</si>
  <si>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</si>
  <si>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</si>
  <si>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</si>
  <si>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</si>
  <si>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</si>
  <si>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</si>
  <si>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</si>
  <si>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</si>
  <si>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</si>
  <si>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</si>
  <si>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</si>
  <si>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</si>
  <si>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</si>
  <si>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</si>
  <si>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</si>
  <si>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</si>
  <si>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</si>
  <si>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</si>
  <si>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</si>
  <si>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</si>
  <si>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</si>
  <si>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</si>
  <si>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DemoMot</t>
  </si>
  <si>
    <t>Levêque Loris</t>
  </si>
  <si>
    <t>CIN2B</t>
  </si>
  <si>
    <t>ETML - Lausanne</t>
  </si>
  <si>
    <t>Création CDC</t>
  </si>
  <si>
    <t>Création planification initiale</t>
  </si>
  <si>
    <t>Fin de journée</t>
  </si>
  <si>
    <t>Fin du DemoMot</t>
  </si>
  <si>
    <t>Créer la base de donnée</t>
  </si>
  <si>
    <t>Créer l'arborescence de base</t>
  </si>
  <si>
    <t>Créer la structure nodejs</t>
  </si>
  <si>
    <t>Créer les modèles html (pages)</t>
  </si>
  <si>
    <t>Créer l'api nodejs</t>
  </si>
  <si>
    <t>Créer le système d'utilisateur</t>
  </si>
  <si>
    <t>Implémenter l'application dans un raspberry</t>
  </si>
  <si>
    <t>Partager le raspberry</t>
  </si>
  <si>
    <t>S 1</t>
  </si>
  <si>
    <t>S 2</t>
  </si>
  <si>
    <t>S 3</t>
  </si>
  <si>
    <t>S 4</t>
  </si>
  <si>
    <t>S 5</t>
  </si>
  <si>
    <t>STOP</t>
  </si>
  <si>
    <t>Création du CDC initial</t>
  </si>
  <si>
    <t>Thymio</t>
  </si>
  <si>
    <t>Commencement du projet thymio avec mon groupe</t>
  </si>
  <si>
    <t>Théorie</t>
  </si>
  <si>
    <t>Science
Math
Anglais</t>
  </si>
  <si>
    <t>Finission du CDC
 -&gt; à faire valider</t>
  </si>
  <si>
    <t>Commencement de la planification initiale
 -&gt; Excel
 -&gt; Trello
 -&gt; Git</t>
  </si>
  <si>
    <t>Lundi</t>
  </si>
  <si>
    <t>Mardi</t>
  </si>
  <si>
    <t>Mercredi</t>
  </si>
  <si>
    <t>Jeudi</t>
  </si>
  <si>
    <t>Vendredi</t>
  </si>
  <si>
    <t>Finission de la planification initiale</t>
  </si>
  <si>
    <t>Création du Git et du Trello</t>
  </si>
  <si>
    <t>Création de l'arborescence de base
 -&gt; adaptée de mon arborescence sur le git : https://github.com/El-Chapo0133/Loris_Convention</t>
  </si>
  <si>
    <t>Max. 40</t>
  </si>
  <si>
    <t>Créer les fichiers structures de base nodejs avec les librairies voulues</t>
  </si>
  <si>
    <t>Economie
Gym
ECG</t>
  </si>
  <si>
    <t>Création de la base de donnée initiale</t>
  </si>
  <si>
    <t>Insertion de quelque données initiales</t>
  </si>
  <si>
    <t>Ferié - Lundi de Pantecôte</t>
  </si>
  <si>
    <t>Créer l'api qui va communiquer avec la base de donnée et return toutes les informations</t>
  </si>
  <si>
    <t>Finir l'api nodejs, vérifier les return, vérifier la sécurité
 -&gt; hash
 -&gt; regex</t>
  </si>
  <si>
    <t>Update la structure nodejs pour pouvoir communiquer avec l'api créé</t>
  </si>
  <si>
    <t>Présentation</t>
  </si>
  <si>
    <t>Rapport</t>
  </si>
  <si>
    <t>Rattrapage</t>
  </si>
  <si>
    <t>Rattrapage pour un cours où j'ai eu la note de 4 
 -&gt; Réseau/Powershell/Web</t>
  </si>
  <si>
    <t>Tests</t>
  </si>
  <si>
    <t>Commencement du rapport</t>
  </si>
  <si>
    <t>Fin du projet thymio
 -&gt; rdv salle de gym batiment S</t>
  </si>
  <si>
    <t>Créer le modèle pour l'affichage de toutes les cartes
 -&gt; librairie pensée : ejs</t>
  </si>
  <si>
    <t>Créer le modèle pour l'ajout/modification d'une carte
 -&gt; librairie pensée : ejs</t>
  </si>
  <si>
    <t>Update la structure de routes nodejs pour afficher les modèles correctement
 -&gt; ejs</t>
  </si>
  <si>
    <t>Tests et correction sur tous ce qui à été fait
 -&gt; api
 -&gt; base de donnée
 -&gt; modèles
 -&gt; structure nodejs
 -&gt; fichiers sources</t>
  </si>
  <si>
    <t>Camp de sport à Feisch</t>
  </si>
  <si>
    <t>Fin du Demomot
 -&gt; rendu des fichiers</t>
  </si>
  <si>
    <t>Revue de la présentation/Rapport/Fichiers</t>
  </si>
  <si>
    <t>Fin des cours
Rangement</t>
  </si>
  <si>
    <t>Commencement du CDC initial</t>
  </si>
  <si>
    <t>Commencement du projet thymio</t>
  </si>
  <si>
    <t>Finission du CDC</t>
  </si>
  <si>
    <t>Création de l'arborescence de base à partir de mon arboescence perso disponible sur mon git</t>
  </si>
  <si>
    <t>https://github.com/El-Chapo0133/Loris_Convention</t>
  </si>
  <si>
    <t>K:\INF\Eleves\DemoMot\CIx2b\levequelo\CDC_levequelo.docx</t>
  </si>
  <si>
    <t>K:\INF\Maitres-Eleves\Evenements\ConcoursRobot2019</t>
  </si>
  <si>
    <t>Création de la base de donnée initiale avec Jmerise</t>
  </si>
  <si>
    <t>K:\INF\Maitres-Eleves\Outils\_APP-Portables\03-developpement\JMerise</t>
  </si>
  <si>
    <t>Insert de quelques données dans un fichier sql nommé insert.sql</t>
  </si>
  <si>
    <t>Création de la planification initiale avec excel et Trello</t>
  </si>
  <si>
    <t>Refonte de mon api nodejs
 -&gt; détruire les fonction d'accès données et les mettres dans les routes</t>
  </si>
  <si>
    <t>Commencement du système de routes</t>
  </si>
  <si>
    <t>Suite de la construction d'un système de routes pour l'affichage entre page</t>
  </si>
  <si>
    <t>Fait chez soi :
Middleware reconstruisant un json
 -&gt; le json pour les tags donne un string de tous les tags, puis un string de toutes les couleurs
 -&gt; je voulais un tableau (nommé tags) possèdant des objets tag : tag1(nom, couleur), tag2(nom, couleur) etc...
 -&gt; fait à 100%</t>
  </si>
  <si>
    <t>Construction d'un middleware créant un string hexadecimal à partir d'un string rgb séparé par des '.'
 -&gt; 122.22.190 devient 0c16be
 -&gt; fait à 100%</t>
  </si>
  <si>
    <t>Lundi de Pantecôte</t>
  </si>
  <si>
    <t>Affectations des deux middles wares au projet
 -&gt; fait à 100%</t>
  </si>
  <si>
    <t>Un middle ware pour avoir les cards par utilisateur ne sera pas fait car l'affichage des cards par utilisateur n'as pas été prévue et subjectivement je n'y vois pas d'interêt.
 -&gt; temps qu'il y a les bouttons modifiers et supprimer qui sont accessible uniquement par utilisateur et peut être une méthode de tri, je trouve que tout va bien :)</t>
  </si>
  <si>
    <t>Revue du modèle ejs pour l'affichage après le json prévu
 -&gt; fait à 100%</t>
  </si>
  <si>
    <t>A faire :
 Un middle ware reconstruisant un json :
  "tagName": "test1;test2",
  "tagColor": "182.19.201;187.12.1"
 Transformation :
  "tags": [
    {"tagName": "test1",
     "tagColor: "182.19.201"},
    {"tagName": "test2",
     "tagColor": "187.12.1"}
  ]</t>
  </si>
  <si>
    <t>Ajustage de la page d'accueil :
 -&gt; les tags doivents prendre une taille relatives -&gt; la carte doit être plus grande si elle possède plus de tag(s) -&gt; Fait à 100%
 -&gt; les cartes doivent prendre le plus d'espace possible -&gt; Fait à 100% (float)
 -&gt; l'ajout d'une carte devra se faire via un style de pop-up, une div fixed qui redirige sur la page d'accueil une fois la carte ajouter -&gt; utiliser le même système pour la 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</si>
</sst>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1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8" fillId="0" borderId="37" xfId="1" applyFont="1" applyFill="1" applyBorder="1" applyAlignment="1" applyProtection="1">
      <alignment horizontal="center" vertical="center" wrapText="1"/>
      <protection locked="0"/>
    </xf>
    <xf numFmtId="0" fontId="8" fillId="0" borderId="37" xfId="0" applyFont="1" applyFill="1" applyBorder="1" applyAlignment="1" applyProtection="1">
      <alignment horizontal="center" vertical="center" wrapText="1"/>
      <protection locked="0"/>
    </xf>
    <xf numFmtId="0" fontId="0" fillId="0" borderId="37" xfId="0" applyFont="1" applyFill="1" applyBorder="1" applyAlignment="1" applyProtection="1">
      <alignment horizontal="left" vertical="top" wrapText="1"/>
      <protection locked="0"/>
    </xf>
    <xf numFmtId="0" fontId="8" fillId="0" borderId="37" xfId="0" applyFont="1" applyFill="1" applyBorder="1" applyAlignment="1" applyProtection="1">
      <alignment horizontal="left" vertical="top" wrapText="1"/>
      <protection locked="0"/>
    </xf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20" fillId="0" borderId="1" xfId="0" applyFont="1" applyFill="1" applyBorder="1" applyAlignment="1" applyProtection="1">
      <alignment horizontal="left" vertical="top" wrapText="1"/>
      <protection locked="0"/>
    </xf>
    <xf numFmtId="0" fontId="20" fillId="0" borderId="37" xfId="0" applyFont="1" applyFill="1" applyBorder="1" applyAlignment="1" applyProtection="1">
      <alignment horizontal="left" vertical="top" wrapText="1"/>
      <protection locked="0"/>
    </xf>
    <xf numFmtId="0" fontId="2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1" fillId="0" borderId="37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0" fillId="16" borderId="43" xfId="0" applyFill="1" applyBorder="1" applyProtection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hyperlink" Target="file:///\\setmseb2k120002.etmlnet.local\SECTIONS$\INF\Maitres-Eleves\Outils\_APP-Portables\03-developpement\JMerise" TargetMode="External"/><Relationship Id="rId7" Type="http://schemas.openxmlformats.org/officeDocument/2006/relationships/vmlDrawing" Target="../drawings/vmlDrawing6.vml"/><Relationship Id="rId2" Type="http://schemas.openxmlformats.org/officeDocument/2006/relationships/hyperlink" Target="file:///\\setmseb2k120002.etmlnet.local\SECTIONS$\INF\Maitres-Eleves\Evenements\ConcoursRobot2019" TargetMode="External"/><Relationship Id="rId1" Type="http://schemas.openxmlformats.org/officeDocument/2006/relationships/hyperlink" Target="file:///\\setmseb2k120002.etmlnet.local\SECTIONS$\INF\Eleves\DemoMot\CIx2b\levequelo\CDC_levequelo.docx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github.com/El-Chapo0133/Loris_Convention" TargetMode="Externa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B1" zoomScaleNormal="100" zoomScaleSheetLayoutView="100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43619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43651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1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4" t="s">
        <v>19</v>
      </c>
      <c r="C19" s="12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32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35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36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37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39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47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70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71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72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74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U42"/>
  <sheetViews>
    <sheetView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203" ht="14.25" thickBot="1" x14ac:dyDescent="0.3">
      <c r="B1" s="89"/>
      <c r="C1" s="89"/>
    </row>
    <row r="2" spans="1:203" ht="42.75" customHeight="1" thickBot="1" x14ac:dyDescent="0.3">
      <c r="A2" s="90"/>
      <c r="B2" s="23" t="s">
        <v>5</v>
      </c>
      <c r="C2" s="15" t="s">
        <v>18</v>
      </c>
      <c r="D2" s="126" t="s">
        <v>40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8"/>
      <c r="AR2" s="126" t="s">
        <v>41</v>
      </c>
      <c r="AS2" s="127"/>
      <c r="AT2" s="127"/>
      <c r="AU2" s="127"/>
      <c r="AV2" s="127"/>
      <c r="AW2" s="127"/>
      <c r="AX2" s="127"/>
      <c r="AY2" s="127"/>
      <c r="AZ2" s="127"/>
      <c r="BA2" s="127"/>
      <c r="BB2" s="127"/>
      <c r="BC2" s="127"/>
      <c r="BD2" s="127"/>
      <c r="BE2" s="127"/>
      <c r="BF2" s="127"/>
      <c r="BG2" s="127"/>
      <c r="BH2" s="127"/>
      <c r="BI2" s="127"/>
      <c r="BJ2" s="127"/>
      <c r="BK2" s="127"/>
      <c r="BL2" s="127"/>
      <c r="BM2" s="127"/>
      <c r="BN2" s="127"/>
      <c r="BO2" s="127"/>
      <c r="BP2" s="127"/>
      <c r="BQ2" s="127"/>
      <c r="BR2" s="127"/>
      <c r="BS2" s="127"/>
      <c r="BT2" s="127"/>
      <c r="BU2" s="127"/>
      <c r="BV2" s="127"/>
      <c r="BW2" s="127"/>
      <c r="BX2" s="127"/>
      <c r="BY2" s="127"/>
      <c r="BZ2" s="127"/>
      <c r="CA2" s="127"/>
      <c r="CB2" s="127"/>
      <c r="CC2" s="127"/>
      <c r="CD2" s="127"/>
      <c r="CE2" s="128"/>
      <c r="CF2" s="126" t="s">
        <v>42</v>
      </c>
      <c r="CG2" s="127"/>
      <c r="CH2" s="127"/>
      <c r="CI2" s="127"/>
      <c r="CJ2" s="127"/>
      <c r="CK2" s="127"/>
      <c r="CL2" s="127"/>
      <c r="CM2" s="127"/>
      <c r="CN2" s="127"/>
      <c r="CO2" s="127"/>
      <c r="CP2" s="127"/>
      <c r="CQ2" s="127"/>
      <c r="CR2" s="127"/>
      <c r="CS2" s="127"/>
      <c r="CT2" s="127"/>
      <c r="CU2" s="127"/>
      <c r="CV2" s="127"/>
      <c r="CW2" s="127"/>
      <c r="CX2" s="127"/>
      <c r="CY2" s="127"/>
      <c r="CZ2" s="127"/>
      <c r="DA2" s="127"/>
      <c r="DB2" s="127"/>
      <c r="DC2" s="127"/>
      <c r="DD2" s="127"/>
      <c r="DE2" s="127"/>
      <c r="DF2" s="127"/>
      <c r="DG2" s="127"/>
      <c r="DH2" s="127"/>
      <c r="DI2" s="127"/>
      <c r="DJ2" s="127"/>
      <c r="DK2" s="127"/>
      <c r="DL2" s="127"/>
      <c r="DM2" s="127"/>
      <c r="DN2" s="127"/>
      <c r="DO2" s="127"/>
      <c r="DP2" s="127"/>
      <c r="DQ2" s="127"/>
      <c r="DR2" s="127"/>
      <c r="DS2" s="128"/>
      <c r="DT2" s="126" t="s">
        <v>43</v>
      </c>
      <c r="DU2" s="127"/>
      <c r="DV2" s="127"/>
      <c r="DW2" s="127"/>
      <c r="DX2" s="127"/>
      <c r="DY2" s="127"/>
      <c r="DZ2" s="127"/>
      <c r="EA2" s="127"/>
      <c r="EB2" s="127"/>
      <c r="EC2" s="127"/>
      <c r="ED2" s="127"/>
      <c r="EE2" s="127"/>
      <c r="EF2" s="127"/>
      <c r="EG2" s="127"/>
      <c r="EH2" s="127"/>
      <c r="EI2" s="127"/>
      <c r="EJ2" s="127"/>
      <c r="EK2" s="127"/>
      <c r="EL2" s="127"/>
      <c r="EM2" s="127"/>
      <c r="EN2" s="127"/>
      <c r="EO2" s="127"/>
      <c r="EP2" s="127"/>
      <c r="EQ2" s="127"/>
      <c r="ER2" s="127"/>
      <c r="ES2" s="127"/>
      <c r="ET2" s="127"/>
      <c r="EU2" s="127"/>
      <c r="EV2" s="127"/>
      <c r="EW2" s="127"/>
      <c r="EX2" s="127"/>
      <c r="EY2" s="127"/>
      <c r="EZ2" s="127"/>
      <c r="FA2" s="127"/>
      <c r="FB2" s="127"/>
      <c r="FC2" s="127"/>
      <c r="FD2" s="127"/>
      <c r="FE2" s="127"/>
      <c r="FF2" s="127"/>
      <c r="FG2" s="128"/>
      <c r="FH2" s="126" t="s">
        <v>44</v>
      </c>
      <c r="FI2" s="127"/>
      <c r="FJ2" s="127"/>
      <c r="FK2" s="127"/>
      <c r="FL2" s="127"/>
      <c r="FM2" s="127"/>
      <c r="FN2" s="127"/>
      <c r="FO2" s="127"/>
      <c r="FP2" s="127"/>
      <c r="FQ2" s="127"/>
      <c r="FR2" s="127"/>
      <c r="FS2" s="127"/>
      <c r="FT2" s="127"/>
      <c r="FU2" s="127"/>
      <c r="FV2" s="127"/>
      <c r="FW2" s="127"/>
      <c r="FX2" s="127"/>
      <c r="FY2" s="127"/>
      <c r="FZ2" s="127"/>
      <c r="GA2" s="127"/>
      <c r="GB2" s="127"/>
      <c r="GC2" s="127"/>
      <c r="GD2" s="127"/>
      <c r="GE2" s="127"/>
      <c r="GF2" s="127"/>
      <c r="GG2" s="127"/>
      <c r="GH2" s="127"/>
      <c r="GI2" s="127"/>
      <c r="GJ2" s="127"/>
      <c r="GK2" s="127"/>
      <c r="GL2" s="127"/>
      <c r="GM2" s="127"/>
      <c r="GN2" s="127"/>
      <c r="GO2" s="127"/>
      <c r="GP2" s="127"/>
      <c r="GQ2" s="127"/>
      <c r="GR2" s="127"/>
      <c r="GS2" s="127"/>
      <c r="GT2" s="127"/>
      <c r="GU2" s="128"/>
    </row>
    <row r="3" spans="1:203" ht="19.5" customHeight="1" x14ac:dyDescent="0.25">
      <c r="A3" s="90"/>
      <c r="B3" s="131" t="s">
        <v>21</v>
      </c>
      <c r="C3" s="16">
        <v>48</v>
      </c>
      <c r="D3" s="109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1"/>
      <c r="AR3" s="118"/>
      <c r="AS3" s="119"/>
      <c r="AT3" s="119"/>
      <c r="AU3" s="119"/>
      <c r="AV3" s="119"/>
      <c r="AW3" s="119"/>
      <c r="AX3" s="119"/>
      <c r="AY3" s="119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1"/>
      <c r="CF3" s="109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1"/>
      <c r="DT3" s="118"/>
      <c r="DU3" s="119"/>
      <c r="DV3" s="119"/>
      <c r="DW3" s="119"/>
      <c r="DX3" s="119"/>
      <c r="DY3" s="119"/>
      <c r="DZ3" s="119"/>
      <c r="EA3" s="119"/>
      <c r="EB3" s="119"/>
      <c r="EC3" s="119"/>
      <c r="ED3" s="119"/>
      <c r="EE3" s="119"/>
      <c r="EF3" s="119"/>
      <c r="EG3" s="119"/>
      <c r="EH3" s="119"/>
      <c r="EI3" s="119"/>
      <c r="EJ3" s="119"/>
      <c r="EK3" s="119"/>
      <c r="EL3" s="119"/>
      <c r="EM3" s="119"/>
      <c r="EN3" s="119"/>
      <c r="EO3" s="119"/>
      <c r="EP3" s="119"/>
      <c r="EQ3" s="119"/>
      <c r="ER3" s="119"/>
      <c r="ES3" s="119"/>
      <c r="ET3" s="119"/>
      <c r="EU3" s="119"/>
      <c r="EV3" s="119"/>
      <c r="EW3" s="119"/>
      <c r="EX3" s="119"/>
      <c r="EY3" s="119"/>
      <c r="EZ3" s="119"/>
      <c r="FA3" s="119"/>
      <c r="FB3" s="119"/>
      <c r="FC3" s="119"/>
      <c r="FD3" s="119"/>
      <c r="FE3" s="119"/>
      <c r="FF3" s="119"/>
      <c r="FG3" s="120"/>
      <c r="FH3" s="109"/>
      <c r="FI3" s="110"/>
      <c r="FJ3" s="110"/>
      <c r="FK3" s="110"/>
      <c r="FL3" s="110"/>
      <c r="FM3" s="110"/>
      <c r="FN3" s="110"/>
      <c r="FO3" s="110"/>
      <c r="FP3" s="110"/>
      <c r="FQ3" s="110"/>
      <c r="FR3" s="110"/>
      <c r="FS3" s="110"/>
      <c r="FT3" s="110"/>
      <c r="FU3" s="110"/>
      <c r="FV3" s="110"/>
      <c r="FW3" s="110"/>
      <c r="FX3" s="110"/>
      <c r="FY3" s="110"/>
      <c r="FZ3" s="110"/>
      <c r="GA3" s="110"/>
      <c r="GB3" s="110"/>
      <c r="GC3" s="110"/>
      <c r="GD3" s="110"/>
      <c r="GE3" s="110"/>
      <c r="GF3" s="110"/>
      <c r="GG3" s="110"/>
      <c r="GH3" s="110"/>
      <c r="GI3" s="110"/>
      <c r="GJ3" s="110"/>
      <c r="GK3" s="110"/>
      <c r="GL3" s="110"/>
      <c r="GM3" s="110"/>
      <c r="GN3" s="110"/>
      <c r="GO3" s="110"/>
      <c r="GP3" s="110"/>
      <c r="GQ3" s="110"/>
      <c r="GR3" s="110"/>
      <c r="GS3" s="110"/>
      <c r="GT3" s="110"/>
      <c r="GU3" s="111"/>
    </row>
    <row r="4" spans="1:203" ht="19.5" customHeight="1" thickBot="1" x14ac:dyDescent="0.3">
      <c r="A4" s="90"/>
      <c r="B4" s="132"/>
      <c r="C4" s="22">
        <v>8</v>
      </c>
      <c r="D4" s="112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13"/>
      <c r="AG4" s="113"/>
      <c r="AH4" s="113"/>
      <c r="AI4" s="113"/>
      <c r="AJ4" s="113"/>
      <c r="AK4" s="113"/>
      <c r="AL4" s="113"/>
      <c r="AM4" s="113"/>
      <c r="AN4" s="113"/>
      <c r="AO4" s="113"/>
      <c r="AP4" s="113"/>
      <c r="AQ4" s="114"/>
      <c r="AR4" s="121"/>
      <c r="AS4" s="122"/>
      <c r="AT4" s="122"/>
      <c r="AU4" s="122"/>
      <c r="AV4" s="122"/>
      <c r="AW4" s="122"/>
      <c r="AX4" s="122"/>
      <c r="AY4" s="122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4"/>
      <c r="CF4" s="112"/>
      <c r="CG4" s="113"/>
      <c r="CH4" s="113"/>
      <c r="CI4" s="113"/>
      <c r="CJ4" s="113"/>
      <c r="CK4" s="113"/>
      <c r="CL4" s="113"/>
      <c r="CM4" s="113"/>
      <c r="CN4" s="113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3"/>
      <c r="DB4" s="113"/>
      <c r="DC4" s="113"/>
      <c r="DD4" s="113"/>
      <c r="DE4" s="113"/>
      <c r="DF4" s="113"/>
      <c r="DG4" s="113"/>
      <c r="DH4" s="113"/>
      <c r="DI4" s="113"/>
      <c r="DJ4" s="113"/>
      <c r="DK4" s="113"/>
      <c r="DL4" s="113"/>
      <c r="DM4" s="113"/>
      <c r="DN4" s="113"/>
      <c r="DO4" s="113"/>
      <c r="DP4" s="113"/>
      <c r="DQ4" s="113"/>
      <c r="DR4" s="113"/>
      <c r="DS4" s="114"/>
      <c r="DT4" s="112"/>
      <c r="DU4" s="113"/>
      <c r="DV4" s="113"/>
      <c r="DW4" s="113"/>
      <c r="DX4" s="113"/>
      <c r="DY4" s="113"/>
      <c r="DZ4" s="113"/>
      <c r="EA4" s="113"/>
      <c r="EB4" s="113"/>
      <c r="EC4" s="113"/>
      <c r="ED4" s="113"/>
      <c r="EE4" s="113"/>
      <c r="EF4" s="113"/>
      <c r="EG4" s="113"/>
      <c r="EH4" s="113"/>
      <c r="EI4" s="113"/>
      <c r="EJ4" s="113"/>
      <c r="EK4" s="113"/>
      <c r="EL4" s="113"/>
      <c r="EM4" s="113"/>
      <c r="EN4" s="113"/>
      <c r="EO4" s="113"/>
      <c r="EP4" s="113"/>
      <c r="EQ4" s="113"/>
      <c r="ER4" s="113"/>
      <c r="ES4" s="113"/>
      <c r="ET4" s="113"/>
      <c r="EU4" s="113"/>
      <c r="EV4" s="113"/>
      <c r="EW4" s="113"/>
      <c r="EX4" s="113"/>
      <c r="EY4" s="113"/>
      <c r="EZ4" s="113"/>
      <c r="FA4" s="113"/>
      <c r="FB4" s="113"/>
      <c r="FC4" s="113"/>
      <c r="FD4" s="113"/>
      <c r="FE4" s="113"/>
      <c r="FF4" s="113"/>
      <c r="FG4" s="114"/>
      <c r="FH4" s="112"/>
      <c r="FI4" s="113"/>
      <c r="FJ4" s="113"/>
      <c r="FK4" s="113"/>
      <c r="FL4" s="113"/>
      <c r="FM4" s="113"/>
      <c r="FN4" s="113"/>
      <c r="FO4" s="113"/>
      <c r="FP4" s="113"/>
      <c r="FQ4" s="113"/>
      <c r="FR4" s="113"/>
      <c r="FS4" s="113"/>
      <c r="FT4" s="113"/>
      <c r="FU4" s="113"/>
      <c r="FV4" s="113"/>
      <c r="FW4" s="113"/>
      <c r="FX4" s="113"/>
      <c r="FY4" s="113"/>
      <c r="FZ4" s="113"/>
      <c r="GA4" s="113"/>
      <c r="GB4" s="113"/>
      <c r="GC4" s="113"/>
      <c r="GD4" s="113"/>
      <c r="GE4" s="113"/>
      <c r="GF4" s="113"/>
      <c r="GG4" s="113"/>
      <c r="GH4" s="113"/>
      <c r="GI4" s="113"/>
      <c r="GJ4" s="113"/>
      <c r="GK4" s="113"/>
      <c r="GL4" s="113"/>
      <c r="GM4" s="113"/>
      <c r="GN4" s="113"/>
      <c r="GO4" s="113"/>
      <c r="GP4" s="113"/>
      <c r="GQ4" s="113"/>
      <c r="GR4" s="113"/>
      <c r="GS4" s="113"/>
      <c r="GT4" s="113"/>
      <c r="GU4" s="114"/>
    </row>
    <row r="5" spans="1:203" ht="19.5" customHeight="1" x14ac:dyDescent="0.25">
      <c r="B5" s="133" t="str">
        <f>Donnees!$C$21</f>
        <v>Création CDC</v>
      </c>
      <c r="C5" s="91">
        <v>6</v>
      </c>
      <c r="D5" s="118"/>
      <c r="E5" s="119"/>
      <c r="F5" s="119"/>
      <c r="G5" s="119"/>
      <c r="H5" s="110"/>
      <c r="I5" s="110"/>
      <c r="J5" s="110"/>
      <c r="K5" s="110"/>
      <c r="L5" s="110"/>
      <c r="M5" s="110"/>
      <c r="N5" s="110"/>
      <c r="O5" s="110"/>
      <c r="P5" s="119"/>
      <c r="Q5" s="119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1"/>
      <c r="AR5" s="109"/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  <c r="BD5" s="110"/>
      <c r="BE5" s="110"/>
      <c r="BF5" s="110"/>
      <c r="BG5" s="110"/>
      <c r="BH5" s="110"/>
      <c r="BI5" s="110"/>
      <c r="BJ5" s="110"/>
      <c r="BK5" s="110"/>
      <c r="BL5" s="110"/>
      <c r="BM5" s="110"/>
      <c r="BN5" s="110"/>
      <c r="BO5" s="110"/>
      <c r="BP5" s="110"/>
      <c r="BQ5" s="110"/>
      <c r="BR5" s="110"/>
      <c r="BS5" s="110"/>
      <c r="BT5" s="110"/>
      <c r="BU5" s="110"/>
      <c r="BV5" s="110"/>
      <c r="BW5" s="110"/>
      <c r="BX5" s="110"/>
      <c r="BY5" s="110"/>
      <c r="BZ5" s="110"/>
      <c r="CA5" s="110"/>
      <c r="CB5" s="110"/>
      <c r="CC5" s="110"/>
      <c r="CD5" s="110"/>
      <c r="CE5" s="111"/>
      <c r="CF5" s="109"/>
      <c r="CG5" s="110"/>
      <c r="CH5" s="110"/>
      <c r="CI5" s="110"/>
      <c r="CJ5" s="110"/>
      <c r="CK5" s="110"/>
      <c r="CL5" s="110"/>
      <c r="CM5" s="110"/>
      <c r="CN5" s="110"/>
      <c r="CO5" s="110"/>
      <c r="CP5" s="110"/>
      <c r="CQ5" s="110"/>
      <c r="CR5" s="110"/>
      <c r="CS5" s="110"/>
      <c r="CT5" s="110"/>
      <c r="CU5" s="110"/>
      <c r="CV5" s="110"/>
      <c r="CW5" s="110"/>
      <c r="CX5" s="110"/>
      <c r="CY5" s="110"/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1"/>
      <c r="DT5" s="109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1"/>
      <c r="FH5" s="109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  <c r="GA5" s="110"/>
      <c r="GB5" s="110"/>
      <c r="GC5" s="110"/>
      <c r="GD5" s="110"/>
      <c r="GE5" s="110"/>
      <c r="GF5" s="110"/>
      <c r="GG5" s="110"/>
      <c r="GH5" s="110"/>
      <c r="GI5" s="110"/>
      <c r="GJ5" s="110"/>
      <c r="GK5" s="110"/>
      <c r="GL5" s="110"/>
      <c r="GM5" s="110"/>
      <c r="GN5" s="110"/>
      <c r="GO5" s="110"/>
      <c r="GP5" s="110"/>
      <c r="GQ5" s="110"/>
      <c r="GR5" s="110"/>
      <c r="GS5" s="110"/>
      <c r="GT5" s="110"/>
      <c r="GU5" s="111"/>
    </row>
    <row r="6" spans="1:203" ht="19.5" customHeight="1" thickBot="1" x14ac:dyDescent="0.3">
      <c r="B6" s="130"/>
      <c r="C6" s="92">
        <v>5</v>
      </c>
      <c r="D6" s="121"/>
      <c r="E6" s="122"/>
      <c r="F6" s="122"/>
      <c r="G6" s="122"/>
      <c r="H6" s="113"/>
      <c r="I6" s="113"/>
      <c r="J6" s="113"/>
      <c r="K6" s="113"/>
      <c r="L6" s="113"/>
      <c r="M6" s="113"/>
      <c r="N6" s="113"/>
      <c r="O6" s="113"/>
      <c r="P6" s="122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4"/>
      <c r="AR6" s="112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S6" s="113"/>
      <c r="BT6" s="113"/>
      <c r="BU6" s="113"/>
      <c r="BV6" s="113"/>
      <c r="BW6" s="113"/>
      <c r="BX6" s="113"/>
      <c r="BY6" s="113"/>
      <c r="BZ6" s="113"/>
      <c r="CA6" s="113"/>
      <c r="CB6" s="113"/>
      <c r="CC6" s="113"/>
      <c r="CD6" s="113"/>
      <c r="CE6" s="114"/>
      <c r="CF6" s="112"/>
      <c r="CG6" s="113"/>
      <c r="CH6" s="113"/>
      <c r="CI6" s="113"/>
      <c r="CJ6" s="113"/>
      <c r="CK6" s="113"/>
      <c r="CL6" s="113"/>
      <c r="CM6" s="113"/>
      <c r="CN6" s="113"/>
      <c r="CO6" s="113"/>
      <c r="CP6" s="113"/>
      <c r="CQ6" s="113"/>
      <c r="CR6" s="113"/>
      <c r="CS6" s="113"/>
      <c r="CT6" s="113"/>
      <c r="CU6" s="113"/>
      <c r="CV6" s="113"/>
      <c r="CW6" s="113"/>
      <c r="CX6" s="113"/>
      <c r="CY6" s="113"/>
      <c r="CZ6" s="113"/>
      <c r="DA6" s="113"/>
      <c r="DB6" s="113"/>
      <c r="DC6" s="113"/>
      <c r="DD6" s="113"/>
      <c r="DE6" s="113"/>
      <c r="DF6" s="113"/>
      <c r="DG6" s="113"/>
      <c r="DH6" s="113"/>
      <c r="DI6" s="113"/>
      <c r="DJ6" s="113"/>
      <c r="DK6" s="113"/>
      <c r="DL6" s="113"/>
      <c r="DM6" s="113"/>
      <c r="DN6" s="113"/>
      <c r="DO6" s="113"/>
      <c r="DP6" s="113"/>
      <c r="DQ6" s="113"/>
      <c r="DR6" s="113"/>
      <c r="DS6" s="114"/>
      <c r="DT6" s="112"/>
      <c r="DU6" s="113"/>
      <c r="DV6" s="113"/>
      <c r="DW6" s="113"/>
      <c r="DX6" s="113"/>
      <c r="DY6" s="113"/>
      <c r="DZ6" s="113"/>
      <c r="EA6" s="113"/>
      <c r="EB6" s="113"/>
      <c r="EC6" s="113"/>
      <c r="ED6" s="113"/>
      <c r="EE6" s="113"/>
      <c r="EF6" s="113"/>
      <c r="EG6" s="113"/>
      <c r="EH6" s="113"/>
      <c r="EI6" s="113"/>
      <c r="EJ6" s="113"/>
      <c r="EK6" s="113"/>
      <c r="EL6" s="113"/>
      <c r="EM6" s="113"/>
      <c r="EN6" s="113"/>
      <c r="EO6" s="113"/>
      <c r="EP6" s="113"/>
      <c r="EQ6" s="113"/>
      <c r="ER6" s="113"/>
      <c r="ES6" s="113"/>
      <c r="ET6" s="113"/>
      <c r="EU6" s="113"/>
      <c r="EV6" s="113"/>
      <c r="EW6" s="113"/>
      <c r="EX6" s="113"/>
      <c r="EY6" s="113"/>
      <c r="EZ6" s="113"/>
      <c r="FA6" s="113"/>
      <c r="FB6" s="113"/>
      <c r="FC6" s="113"/>
      <c r="FD6" s="113"/>
      <c r="FE6" s="113"/>
      <c r="FF6" s="113"/>
      <c r="FG6" s="114"/>
      <c r="FH6" s="112"/>
      <c r="FI6" s="113"/>
      <c r="FJ6" s="113"/>
      <c r="FK6" s="113"/>
      <c r="FL6" s="113"/>
      <c r="FM6" s="113"/>
      <c r="FN6" s="113"/>
      <c r="FO6" s="113"/>
      <c r="FP6" s="113"/>
      <c r="FQ6" s="113"/>
      <c r="FR6" s="113"/>
      <c r="FS6" s="113"/>
      <c r="FT6" s="113"/>
      <c r="FU6" s="113"/>
      <c r="FV6" s="113"/>
      <c r="FW6" s="113"/>
      <c r="FX6" s="113"/>
      <c r="FY6" s="113"/>
      <c r="FZ6" s="113"/>
      <c r="GA6" s="113"/>
      <c r="GB6" s="113"/>
      <c r="GC6" s="113"/>
      <c r="GD6" s="113"/>
      <c r="GE6" s="113"/>
      <c r="GF6" s="113"/>
      <c r="GG6" s="113"/>
      <c r="GH6" s="113"/>
      <c r="GI6" s="113"/>
      <c r="GJ6" s="113"/>
      <c r="GK6" s="113"/>
      <c r="GL6" s="113"/>
      <c r="GM6" s="113"/>
      <c r="GN6" s="113"/>
      <c r="GO6" s="113"/>
      <c r="GP6" s="113"/>
      <c r="GQ6" s="113"/>
      <c r="GR6" s="113"/>
      <c r="GS6" s="113"/>
      <c r="GT6" s="113"/>
      <c r="GU6" s="114"/>
    </row>
    <row r="7" spans="1:203" ht="19.5" customHeight="1" x14ac:dyDescent="0.25">
      <c r="B7" s="129" t="str">
        <f>Donnees!$C$22</f>
        <v>Création planification initiale</v>
      </c>
      <c r="C7" s="91">
        <v>7</v>
      </c>
      <c r="D7" s="109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9"/>
      <c r="S7" s="119"/>
      <c r="T7" s="119"/>
      <c r="U7" s="119"/>
      <c r="V7" s="119"/>
      <c r="W7" s="119"/>
      <c r="X7" s="119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1"/>
      <c r="AR7" s="109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  <c r="BS7" s="110"/>
      <c r="BT7" s="110"/>
      <c r="BU7" s="110"/>
      <c r="BV7" s="110"/>
      <c r="BW7" s="110"/>
      <c r="BX7" s="110"/>
      <c r="BY7" s="110"/>
      <c r="BZ7" s="110"/>
      <c r="CA7" s="110"/>
      <c r="CB7" s="110"/>
      <c r="CC7" s="110"/>
      <c r="CD7" s="110"/>
      <c r="CE7" s="111"/>
      <c r="CF7" s="109"/>
      <c r="CG7" s="110"/>
      <c r="CH7" s="110"/>
      <c r="CI7" s="110"/>
      <c r="CJ7" s="110"/>
      <c r="CK7" s="110"/>
      <c r="CL7" s="110"/>
      <c r="CM7" s="110"/>
      <c r="CN7" s="110"/>
      <c r="CO7" s="110"/>
      <c r="CP7" s="110"/>
      <c r="CQ7" s="110"/>
      <c r="CR7" s="110"/>
      <c r="CS7" s="110"/>
      <c r="CT7" s="110"/>
      <c r="CU7" s="110"/>
      <c r="CV7" s="110"/>
      <c r="CW7" s="110"/>
      <c r="CX7" s="110"/>
      <c r="CY7" s="110"/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1"/>
      <c r="DT7" s="109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1"/>
      <c r="FH7" s="109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  <c r="GA7" s="110"/>
      <c r="GB7" s="110"/>
      <c r="GC7" s="110"/>
      <c r="GD7" s="110"/>
      <c r="GE7" s="110"/>
      <c r="GF7" s="110"/>
      <c r="GG7" s="110"/>
      <c r="GH7" s="110"/>
      <c r="GI7" s="110"/>
      <c r="GJ7" s="110"/>
      <c r="GK7" s="110"/>
      <c r="GL7" s="110"/>
      <c r="GM7" s="110"/>
      <c r="GN7" s="110"/>
      <c r="GO7" s="110"/>
      <c r="GP7" s="110"/>
      <c r="GQ7" s="110"/>
      <c r="GR7" s="110"/>
      <c r="GS7" s="110"/>
      <c r="GT7" s="110"/>
      <c r="GU7" s="111"/>
    </row>
    <row r="8" spans="1:203" ht="19.5" customHeight="1" thickBot="1" x14ac:dyDescent="0.3">
      <c r="B8" s="130"/>
      <c r="C8" s="92">
        <v>4</v>
      </c>
      <c r="D8" s="112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22"/>
      <c r="R8" s="122"/>
      <c r="S8" s="122"/>
      <c r="T8" s="122"/>
      <c r="U8" s="113"/>
      <c r="V8" s="113"/>
      <c r="W8" s="113"/>
      <c r="X8" s="113"/>
      <c r="Y8" s="113"/>
      <c r="Z8" s="113"/>
      <c r="AA8" s="113"/>
      <c r="AB8" s="113"/>
      <c r="AC8" s="113"/>
      <c r="AD8" s="113"/>
      <c r="AE8" s="113"/>
      <c r="AF8" s="113"/>
      <c r="AG8" s="113"/>
      <c r="AH8" s="113"/>
      <c r="AI8" s="113"/>
      <c r="AJ8" s="113"/>
      <c r="AK8" s="113"/>
      <c r="AL8" s="113"/>
      <c r="AM8" s="113"/>
      <c r="AN8" s="113"/>
      <c r="AO8" s="113"/>
      <c r="AP8" s="113"/>
      <c r="AQ8" s="114"/>
      <c r="AR8" s="112"/>
      <c r="AS8" s="113"/>
      <c r="AT8" s="113"/>
      <c r="AU8" s="113"/>
      <c r="AV8" s="113"/>
      <c r="AW8" s="113"/>
      <c r="AX8" s="113"/>
      <c r="AY8" s="113"/>
      <c r="AZ8" s="113"/>
      <c r="BA8" s="113"/>
      <c r="BB8" s="113"/>
      <c r="BC8" s="113"/>
      <c r="BD8" s="113"/>
      <c r="BE8" s="113"/>
      <c r="BF8" s="113"/>
      <c r="BG8" s="113"/>
      <c r="BH8" s="113"/>
      <c r="BI8" s="113"/>
      <c r="BJ8" s="113"/>
      <c r="BK8" s="113"/>
      <c r="BL8" s="113"/>
      <c r="BM8" s="113"/>
      <c r="BN8" s="113"/>
      <c r="BO8" s="113"/>
      <c r="BP8" s="113"/>
      <c r="BQ8" s="113"/>
      <c r="BR8" s="113"/>
      <c r="BS8" s="113"/>
      <c r="BT8" s="113"/>
      <c r="BU8" s="113"/>
      <c r="BV8" s="113"/>
      <c r="BW8" s="113"/>
      <c r="BX8" s="113"/>
      <c r="BY8" s="113"/>
      <c r="BZ8" s="113"/>
      <c r="CA8" s="113"/>
      <c r="CB8" s="113"/>
      <c r="CC8" s="113"/>
      <c r="CD8" s="113"/>
      <c r="CE8" s="114"/>
      <c r="CF8" s="112"/>
      <c r="CG8" s="113"/>
      <c r="CH8" s="113"/>
      <c r="CI8" s="113"/>
      <c r="CJ8" s="113"/>
      <c r="CK8" s="113"/>
      <c r="CL8" s="113"/>
      <c r="CM8" s="113"/>
      <c r="CN8" s="113"/>
      <c r="CO8" s="113"/>
      <c r="CP8" s="113"/>
      <c r="CQ8" s="113"/>
      <c r="CR8" s="113"/>
      <c r="CS8" s="113"/>
      <c r="CT8" s="113"/>
      <c r="CU8" s="113"/>
      <c r="CV8" s="113"/>
      <c r="CW8" s="113"/>
      <c r="CX8" s="113"/>
      <c r="CY8" s="113"/>
      <c r="CZ8" s="113"/>
      <c r="DA8" s="113"/>
      <c r="DB8" s="113"/>
      <c r="DC8" s="113"/>
      <c r="DD8" s="113"/>
      <c r="DE8" s="113"/>
      <c r="DF8" s="113"/>
      <c r="DG8" s="113"/>
      <c r="DH8" s="113"/>
      <c r="DI8" s="113"/>
      <c r="DJ8" s="113"/>
      <c r="DK8" s="113"/>
      <c r="DL8" s="113"/>
      <c r="DM8" s="113"/>
      <c r="DN8" s="113"/>
      <c r="DO8" s="113"/>
      <c r="DP8" s="113"/>
      <c r="DQ8" s="113"/>
      <c r="DR8" s="113"/>
      <c r="DS8" s="114"/>
      <c r="DT8" s="112"/>
      <c r="DU8" s="113"/>
      <c r="DV8" s="113"/>
      <c r="DW8" s="113"/>
      <c r="DX8" s="113"/>
      <c r="DY8" s="113"/>
      <c r="DZ8" s="113"/>
      <c r="EA8" s="113"/>
      <c r="EB8" s="113"/>
      <c r="EC8" s="113"/>
      <c r="ED8" s="113"/>
      <c r="EE8" s="113"/>
      <c r="EF8" s="113"/>
      <c r="EG8" s="113"/>
      <c r="EH8" s="113"/>
      <c r="EI8" s="113"/>
      <c r="EJ8" s="113"/>
      <c r="EK8" s="113"/>
      <c r="EL8" s="113"/>
      <c r="EM8" s="113"/>
      <c r="EN8" s="113"/>
      <c r="EO8" s="113"/>
      <c r="EP8" s="113"/>
      <c r="EQ8" s="113"/>
      <c r="ER8" s="113"/>
      <c r="ES8" s="113"/>
      <c r="ET8" s="113"/>
      <c r="EU8" s="113"/>
      <c r="EV8" s="113"/>
      <c r="EW8" s="113"/>
      <c r="EX8" s="113"/>
      <c r="EY8" s="113"/>
      <c r="EZ8" s="113"/>
      <c r="FA8" s="113"/>
      <c r="FB8" s="113"/>
      <c r="FC8" s="113"/>
      <c r="FD8" s="113"/>
      <c r="FE8" s="113"/>
      <c r="FF8" s="113"/>
      <c r="FG8" s="114"/>
      <c r="FH8" s="112"/>
      <c r="FI8" s="113"/>
      <c r="FJ8" s="113"/>
      <c r="FK8" s="113"/>
      <c r="FL8" s="113"/>
      <c r="FM8" s="113"/>
      <c r="FN8" s="113"/>
      <c r="FO8" s="113"/>
      <c r="FP8" s="113"/>
      <c r="FQ8" s="113"/>
      <c r="FR8" s="113"/>
      <c r="FS8" s="113"/>
      <c r="FT8" s="113"/>
      <c r="FU8" s="113"/>
      <c r="FV8" s="113"/>
      <c r="FW8" s="113"/>
      <c r="FX8" s="113"/>
      <c r="FY8" s="113"/>
      <c r="FZ8" s="113"/>
      <c r="GA8" s="113"/>
      <c r="GB8" s="113"/>
      <c r="GC8" s="113"/>
      <c r="GD8" s="113"/>
      <c r="GE8" s="113"/>
      <c r="GF8" s="113"/>
      <c r="GG8" s="113"/>
      <c r="GH8" s="113"/>
      <c r="GI8" s="113"/>
      <c r="GJ8" s="113"/>
      <c r="GK8" s="113"/>
      <c r="GL8" s="113"/>
      <c r="GM8" s="113"/>
      <c r="GN8" s="113"/>
      <c r="GO8" s="113"/>
      <c r="GP8" s="113"/>
      <c r="GQ8" s="113"/>
      <c r="GR8" s="113"/>
      <c r="GS8" s="113"/>
      <c r="GT8" s="113"/>
      <c r="GU8" s="114"/>
    </row>
    <row r="9" spans="1:203" ht="19.5" customHeight="1" x14ac:dyDescent="0.25">
      <c r="B9" s="129" t="str">
        <f>Donnees!$C$23</f>
        <v>Fin de journée</v>
      </c>
      <c r="C9" s="91">
        <v>0</v>
      </c>
      <c r="D9" s="109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1"/>
      <c r="AR9" s="109"/>
      <c r="AS9" s="110"/>
      <c r="AT9" s="110"/>
      <c r="AU9" s="110"/>
      <c r="AV9" s="110"/>
      <c r="AW9" s="110"/>
      <c r="AX9" s="110"/>
      <c r="AY9" s="110"/>
      <c r="AZ9" s="110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10"/>
      <c r="BS9" s="110"/>
      <c r="BT9" s="110"/>
      <c r="BU9" s="110"/>
      <c r="BV9" s="110"/>
      <c r="BW9" s="110"/>
      <c r="BX9" s="110"/>
      <c r="BY9" s="110"/>
      <c r="BZ9" s="110"/>
      <c r="CA9" s="110"/>
      <c r="CB9" s="110"/>
      <c r="CC9" s="110"/>
      <c r="CD9" s="110"/>
      <c r="CE9" s="111"/>
      <c r="CF9" s="109"/>
      <c r="CG9" s="110"/>
      <c r="CH9" s="110"/>
      <c r="CI9" s="110"/>
      <c r="CJ9" s="110"/>
      <c r="CK9" s="110"/>
      <c r="CL9" s="110"/>
      <c r="CM9" s="110"/>
      <c r="CN9" s="110"/>
      <c r="CO9" s="110"/>
      <c r="CP9" s="110"/>
      <c r="CQ9" s="110"/>
      <c r="CR9" s="110"/>
      <c r="CS9" s="110"/>
      <c r="CT9" s="110"/>
      <c r="CU9" s="110"/>
      <c r="CV9" s="110"/>
      <c r="CW9" s="110"/>
      <c r="CX9" s="110"/>
      <c r="CY9" s="110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1"/>
      <c r="DT9" s="109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1"/>
      <c r="FH9" s="109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  <c r="GA9" s="110"/>
      <c r="GB9" s="110"/>
      <c r="GC9" s="110"/>
      <c r="GD9" s="110"/>
      <c r="GE9" s="110"/>
      <c r="GF9" s="110"/>
      <c r="GG9" s="110"/>
      <c r="GH9" s="110"/>
      <c r="GI9" s="110"/>
      <c r="GJ9" s="110"/>
      <c r="GK9" s="110"/>
      <c r="GL9" s="110"/>
      <c r="GM9" s="110"/>
      <c r="GN9" s="110"/>
      <c r="GO9" s="110"/>
      <c r="GP9" s="110"/>
      <c r="GQ9" s="110"/>
      <c r="GR9" s="110"/>
      <c r="GS9" s="110"/>
      <c r="GT9" s="110"/>
      <c r="GU9" s="111"/>
    </row>
    <row r="10" spans="1:203" ht="19.5" customHeight="1" thickBot="1" x14ac:dyDescent="0.3">
      <c r="B10" s="130"/>
      <c r="C10" s="92">
        <v>0</v>
      </c>
      <c r="D10" s="112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113"/>
      <c r="AE10" s="113"/>
      <c r="AF10" s="113"/>
      <c r="AG10" s="113"/>
      <c r="AH10" s="113"/>
      <c r="AI10" s="113"/>
      <c r="AJ10" s="113"/>
      <c r="AK10" s="113"/>
      <c r="AL10" s="113"/>
      <c r="AM10" s="113"/>
      <c r="AN10" s="113"/>
      <c r="AO10" s="113"/>
      <c r="AP10" s="113"/>
      <c r="AQ10" s="114"/>
      <c r="AR10" s="112"/>
      <c r="AS10" s="113"/>
      <c r="AT10" s="113"/>
      <c r="AU10" s="113"/>
      <c r="AV10" s="113"/>
      <c r="AW10" s="113"/>
      <c r="AX10" s="113"/>
      <c r="AY10" s="113"/>
      <c r="AZ10" s="113"/>
      <c r="BA10" s="113"/>
      <c r="BB10" s="113"/>
      <c r="BC10" s="113"/>
      <c r="BD10" s="113"/>
      <c r="BE10" s="113"/>
      <c r="BF10" s="113"/>
      <c r="BG10" s="113"/>
      <c r="BH10" s="113"/>
      <c r="BI10" s="113"/>
      <c r="BJ10" s="113"/>
      <c r="BK10" s="113"/>
      <c r="BL10" s="113"/>
      <c r="BM10" s="113"/>
      <c r="BN10" s="113"/>
      <c r="BO10" s="113"/>
      <c r="BP10" s="113"/>
      <c r="BQ10" s="113"/>
      <c r="BR10" s="113"/>
      <c r="BS10" s="113"/>
      <c r="BT10" s="113"/>
      <c r="BU10" s="113"/>
      <c r="BV10" s="113"/>
      <c r="BW10" s="113"/>
      <c r="BX10" s="113"/>
      <c r="BY10" s="113"/>
      <c r="BZ10" s="113"/>
      <c r="CA10" s="113"/>
      <c r="CB10" s="113"/>
      <c r="CC10" s="113"/>
      <c r="CD10" s="113"/>
      <c r="CE10" s="114"/>
      <c r="CF10" s="112"/>
      <c r="CG10" s="113"/>
      <c r="CH10" s="113"/>
      <c r="CI10" s="113"/>
      <c r="CJ10" s="113"/>
      <c r="CK10" s="113"/>
      <c r="CL10" s="113"/>
      <c r="CM10" s="113"/>
      <c r="CN10" s="113"/>
      <c r="CO10" s="113"/>
      <c r="CP10" s="113"/>
      <c r="CQ10" s="113"/>
      <c r="CR10" s="113"/>
      <c r="CS10" s="113"/>
      <c r="CT10" s="113"/>
      <c r="CU10" s="113"/>
      <c r="CV10" s="113"/>
      <c r="CW10" s="113"/>
      <c r="CX10" s="113"/>
      <c r="CY10" s="113"/>
      <c r="CZ10" s="113"/>
      <c r="DA10" s="113"/>
      <c r="DB10" s="113"/>
      <c r="DC10" s="113"/>
      <c r="DD10" s="113"/>
      <c r="DE10" s="113"/>
      <c r="DF10" s="113"/>
      <c r="DG10" s="113"/>
      <c r="DH10" s="113"/>
      <c r="DI10" s="113"/>
      <c r="DJ10" s="113"/>
      <c r="DK10" s="113"/>
      <c r="DL10" s="113"/>
      <c r="DM10" s="113"/>
      <c r="DN10" s="113"/>
      <c r="DO10" s="113"/>
      <c r="DP10" s="113"/>
      <c r="DQ10" s="113"/>
      <c r="DR10" s="113"/>
      <c r="DS10" s="114"/>
      <c r="DT10" s="112"/>
      <c r="DU10" s="113"/>
      <c r="DV10" s="113"/>
      <c r="DW10" s="113"/>
      <c r="DX10" s="113"/>
      <c r="DY10" s="113"/>
      <c r="DZ10" s="113"/>
      <c r="EA10" s="113"/>
      <c r="EB10" s="113"/>
      <c r="EC10" s="113"/>
      <c r="ED10" s="113"/>
      <c r="EE10" s="113"/>
      <c r="EF10" s="113"/>
      <c r="EG10" s="113"/>
      <c r="EH10" s="113"/>
      <c r="EI10" s="113"/>
      <c r="EJ10" s="113"/>
      <c r="EK10" s="113"/>
      <c r="EL10" s="113"/>
      <c r="EM10" s="113"/>
      <c r="EN10" s="113"/>
      <c r="EO10" s="113"/>
      <c r="EP10" s="113"/>
      <c r="EQ10" s="113"/>
      <c r="ER10" s="113"/>
      <c r="ES10" s="113"/>
      <c r="ET10" s="113"/>
      <c r="EU10" s="113"/>
      <c r="EV10" s="113"/>
      <c r="EW10" s="113"/>
      <c r="EX10" s="113"/>
      <c r="EY10" s="113"/>
      <c r="EZ10" s="113"/>
      <c r="FA10" s="113"/>
      <c r="FB10" s="113"/>
      <c r="FC10" s="113"/>
      <c r="FD10" s="113"/>
      <c r="FE10" s="113"/>
      <c r="FF10" s="113"/>
      <c r="FG10" s="114"/>
      <c r="FH10" s="112"/>
      <c r="FI10" s="113"/>
      <c r="FJ10" s="113"/>
      <c r="FK10" s="113"/>
      <c r="FL10" s="113"/>
      <c r="FM10" s="113"/>
      <c r="FN10" s="113"/>
      <c r="FO10" s="113"/>
      <c r="FP10" s="113"/>
      <c r="FQ10" s="113"/>
      <c r="FR10" s="113"/>
      <c r="FS10" s="113"/>
      <c r="FT10" s="113"/>
      <c r="FU10" s="113"/>
      <c r="FV10" s="113"/>
      <c r="FW10" s="113"/>
      <c r="FX10" s="113"/>
      <c r="FY10" s="113"/>
      <c r="FZ10" s="113"/>
      <c r="GA10" s="113"/>
      <c r="GB10" s="113"/>
      <c r="GC10" s="113"/>
      <c r="GD10" s="113"/>
      <c r="GE10" s="113"/>
      <c r="GF10" s="113"/>
      <c r="GG10" s="113"/>
      <c r="GH10" s="113"/>
      <c r="GI10" s="113"/>
      <c r="GJ10" s="113"/>
      <c r="GK10" s="113"/>
      <c r="GL10" s="113"/>
      <c r="GM10" s="113"/>
      <c r="GN10" s="113"/>
      <c r="GO10" s="113"/>
      <c r="GP10" s="113"/>
      <c r="GQ10" s="113"/>
      <c r="GR10" s="113"/>
      <c r="GS10" s="113"/>
      <c r="GT10" s="113"/>
      <c r="GU10" s="114"/>
    </row>
    <row r="11" spans="1:203" ht="19.5" customHeight="1" x14ac:dyDescent="0.25">
      <c r="B11" s="129" t="str">
        <f>Donnees!$C$24</f>
        <v>Créer la base de donnée</v>
      </c>
      <c r="C11" s="91">
        <v>7</v>
      </c>
      <c r="D11" s="109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9"/>
      <c r="AL11" s="119"/>
      <c r="AM11" s="119"/>
      <c r="AN11" s="119"/>
      <c r="AO11" s="119"/>
      <c r="AP11" s="119"/>
      <c r="AQ11" s="120"/>
      <c r="AR11" s="109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  <c r="CA11" s="110"/>
      <c r="CB11" s="110"/>
      <c r="CC11" s="110"/>
      <c r="CD11" s="110"/>
      <c r="CE11" s="111"/>
      <c r="CF11" s="109"/>
      <c r="CG11" s="110"/>
      <c r="CH11" s="110"/>
      <c r="CI11" s="110"/>
      <c r="CJ11" s="110"/>
      <c r="CK11" s="110"/>
      <c r="CL11" s="110"/>
      <c r="CM11" s="110"/>
      <c r="CN11" s="110"/>
      <c r="CO11" s="110"/>
      <c r="CP11" s="110"/>
      <c r="CQ11" s="110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1"/>
      <c r="DT11" s="109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1"/>
      <c r="FH11" s="109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  <c r="GG11" s="110"/>
      <c r="GH11" s="110"/>
      <c r="GI11" s="110"/>
      <c r="GJ11" s="110"/>
      <c r="GK11" s="110"/>
      <c r="GL11" s="110"/>
      <c r="GM11" s="110"/>
      <c r="GN11" s="110"/>
      <c r="GO11" s="110"/>
      <c r="GP11" s="110"/>
      <c r="GQ11" s="110"/>
      <c r="GR11" s="110"/>
      <c r="GS11" s="110"/>
      <c r="GT11" s="110"/>
      <c r="GU11" s="111"/>
    </row>
    <row r="12" spans="1:203" ht="19.5" customHeight="1" thickBot="1" x14ac:dyDescent="0.3">
      <c r="B12" s="130"/>
      <c r="C12" s="92">
        <v>2</v>
      </c>
      <c r="D12" s="112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22"/>
      <c r="X12" s="122"/>
      <c r="Y12" s="113"/>
      <c r="Z12" s="113"/>
      <c r="AA12" s="113"/>
      <c r="AB12" s="113"/>
      <c r="AC12" s="113"/>
      <c r="AD12" s="113"/>
      <c r="AE12" s="113"/>
      <c r="AF12" s="113"/>
      <c r="AG12" s="113"/>
      <c r="AH12" s="113"/>
      <c r="AI12" s="113"/>
      <c r="AJ12" s="113"/>
      <c r="AK12" s="113"/>
      <c r="AL12" s="113"/>
      <c r="AM12" s="113"/>
      <c r="AN12" s="113"/>
      <c r="AO12" s="113"/>
      <c r="AP12" s="113"/>
      <c r="AQ12" s="114"/>
      <c r="AR12" s="112"/>
      <c r="AS12" s="113"/>
      <c r="AT12" s="113"/>
      <c r="AU12" s="113"/>
      <c r="AV12" s="113"/>
      <c r="AW12" s="113"/>
      <c r="AX12" s="113"/>
      <c r="AY12" s="113"/>
      <c r="AZ12" s="113"/>
      <c r="BA12" s="113"/>
      <c r="BB12" s="113"/>
      <c r="BC12" s="113"/>
      <c r="BD12" s="113"/>
      <c r="BE12" s="113"/>
      <c r="BF12" s="113"/>
      <c r="BG12" s="113"/>
      <c r="BH12" s="113"/>
      <c r="BI12" s="113"/>
      <c r="BJ12" s="113"/>
      <c r="BK12" s="113"/>
      <c r="BL12" s="113"/>
      <c r="BM12" s="113"/>
      <c r="BN12" s="113"/>
      <c r="BO12" s="113"/>
      <c r="BP12" s="113"/>
      <c r="BQ12" s="113"/>
      <c r="BR12" s="113"/>
      <c r="BS12" s="113"/>
      <c r="BT12" s="113"/>
      <c r="BU12" s="113"/>
      <c r="BV12" s="113"/>
      <c r="BW12" s="113"/>
      <c r="BX12" s="113"/>
      <c r="BY12" s="113"/>
      <c r="BZ12" s="113"/>
      <c r="CA12" s="113"/>
      <c r="CB12" s="113"/>
      <c r="CC12" s="113"/>
      <c r="CD12" s="113"/>
      <c r="CE12" s="114"/>
      <c r="CF12" s="112"/>
      <c r="CG12" s="113"/>
      <c r="CH12" s="113"/>
      <c r="CI12" s="113"/>
      <c r="CJ12" s="113"/>
      <c r="CK12" s="113"/>
      <c r="CL12" s="113"/>
      <c r="CM12" s="113"/>
      <c r="CN12" s="113"/>
      <c r="CO12" s="113"/>
      <c r="CP12" s="113"/>
      <c r="CQ12" s="113"/>
      <c r="CR12" s="113"/>
      <c r="CS12" s="113"/>
      <c r="CT12" s="113"/>
      <c r="CU12" s="113"/>
      <c r="CV12" s="113"/>
      <c r="CW12" s="113"/>
      <c r="CX12" s="113"/>
      <c r="CY12" s="113"/>
      <c r="CZ12" s="113"/>
      <c r="DA12" s="113"/>
      <c r="DB12" s="113"/>
      <c r="DC12" s="113"/>
      <c r="DD12" s="113"/>
      <c r="DE12" s="113"/>
      <c r="DF12" s="113"/>
      <c r="DG12" s="113"/>
      <c r="DH12" s="113"/>
      <c r="DI12" s="113"/>
      <c r="DJ12" s="113"/>
      <c r="DK12" s="113"/>
      <c r="DL12" s="113"/>
      <c r="DM12" s="113"/>
      <c r="DN12" s="113"/>
      <c r="DO12" s="113"/>
      <c r="DP12" s="113"/>
      <c r="DQ12" s="113"/>
      <c r="DR12" s="113"/>
      <c r="DS12" s="114"/>
      <c r="DT12" s="112"/>
      <c r="DU12" s="113"/>
      <c r="DV12" s="113"/>
      <c r="DW12" s="113"/>
      <c r="DX12" s="113"/>
      <c r="DY12" s="113"/>
      <c r="DZ12" s="113"/>
      <c r="EA12" s="113"/>
      <c r="EB12" s="113"/>
      <c r="EC12" s="113"/>
      <c r="ED12" s="113"/>
      <c r="EE12" s="113"/>
      <c r="EF12" s="113"/>
      <c r="EG12" s="113"/>
      <c r="EH12" s="113"/>
      <c r="EI12" s="113"/>
      <c r="EJ12" s="113"/>
      <c r="EK12" s="113"/>
      <c r="EL12" s="113"/>
      <c r="EM12" s="113"/>
      <c r="EN12" s="113"/>
      <c r="EO12" s="113"/>
      <c r="EP12" s="113"/>
      <c r="EQ12" s="113"/>
      <c r="ER12" s="113"/>
      <c r="ES12" s="113"/>
      <c r="ET12" s="113"/>
      <c r="EU12" s="113"/>
      <c r="EV12" s="113"/>
      <c r="EW12" s="113"/>
      <c r="EX12" s="113"/>
      <c r="EY12" s="113"/>
      <c r="EZ12" s="113"/>
      <c r="FA12" s="113"/>
      <c r="FB12" s="113"/>
      <c r="FC12" s="113"/>
      <c r="FD12" s="113"/>
      <c r="FE12" s="113"/>
      <c r="FF12" s="113"/>
      <c r="FG12" s="114"/>
      <c r="FH12" s="112"/>
      <c r="FI12" s="113"/>
      <c r="FJ12" s="113"/>
      <c r="FK12" s="113"/>
      <c r="FL12" s="113"/>
      <c r="FM12" s="113"/>
      <c r="FN12" s="113"/>
      <c r="FO12" s="113"/>
      <c r="FP12" s="113"/>
      <c r="FQ12" s="113"/>
      <c r="FR12" s="113"/>
      <c r="FS12" s="113"/>
      <c r="FT12" s="113"/>
      <c r="FU12" s="113"/>
      <c r="FV12" s="113"/>
      <c r="FW12" s="113"/>
      <c r="FX12" s="113"/>
      <c r="FY12" s="113"/>
      <c r="FZ12" s="113"/>
      <c r="GA12" s="113"/>
      <c r="GB12" s="113"/>
      <c r="GC12" s="113"/>
      <c r="GD12" s="113"/>
      <c r="GE12" s="113"/>
      <c r="GF12" s="113"/>
      <c r="GG12" s="113"/>
      <c r="GH12" s="113"/>
      <c r="GI12" s="113"/>
      <c r="GJ12" s="113"/>
      <c r="GK12" s="113"/>
      <c r="GL12" s="113"/>
      <c r="GM12" s="113"/>
      <c r="GN12" s="113"/>
      <c r="GO12" s="113"/>
      <c r="GP12" s="113"/>
      <c r="GQ12" s="113"/>
      <c r="GR12" s="113"/>
      <c r="GS12" s="113"/>
      <c r="GT12" s="113"/>
      <c r="GU12" s="114"/>
    </row>
    <row r="13" spans="1:203" ht="19.5" customHeight="1" x14ac:dyDescent="0.25">
      <c r="B13" s="129" t="str">
        <f>Donnees!$C$25</f>
        <v>Créer l'arborescence de base</v>
      </c>
      <c r="C13" s="91">
        <v>2</v>
      </c>
      <c r="D13" s="109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9"/>
      <c r="Z13" s="119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1"/>
      <c r="AR13" s="109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10"/>
      <c r="BW13" s="110"/>
      <c r="BX13" s="110"/>
      <c r="BY13" s="110"/>
      <c r="BZ13" s="110"/>
      <c r="CA13" s="110"/>
      <c r="CB13" s="110"/>
      <c r="CC13" s="110"/>
      <c r="CD13" s="110"/>
      <c r="CE13" s="111"/>
      <c r="CF13" s="109"/>
      <c r="CG13" s="110"/>
      <c r="CH13" s="110"/>
      <c r="CI13" s="110"/>
      <c r="CJ13" s="110"/>
      <c r="CK13" s="110"/>
      <c r="CL13" s="110"/>
      <c r="CM13" s="110"/>
      <c r="CN13" s="110"/>
      <c r="CO13" s="110"/>
      <c r="CP13" s="110"/>
      <c r="CQ13" s="110"/>
      <c r="CR13" s="110"/>
      <c r="CS13" s="110"/>
      <c r="CT13" s="110"/>
      <c r="CU13" s="110"/>
      <c r="CV13" s="110"/>
      <c r="CW13" s="110"/>
      <c r="CX13" s="110"/>
      <c r="CY13" s="110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1"/>
      <c r="DT13" s="109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1"/>
      <c r="FH13" s="109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  <c r="GA13" s="110"/>
      <c r="GB13" s="110"/>
      <c r="GC13" s="110"/>
      <c r="GD13" s="110"/>
      <c r="GE13" s="110"/>
      <c r="GF13" s="110"/>
      <c r="GG13" s="110"/>
      <c r="GH13" s="110"/>
      <c r="GI13" s="110"/>
      <c r="GJ13" s="110"/>
      <c r="GK13" s="110"/>
      <c r="GL13" s="110"/>
      <c r="GM13" s="110"/>
      <c r="GN13" s="110"/>
      <c r="GO13" s="110"/>
      <c r="GP13" s="110"/>
      <c r="GQ13" s="110"/>
      <c r="GR13" s="110"/>
      <c r="GS13" s="110"/>
      <c r="GT13" s="110"/>
      <c r="GU13" s="111"/>
    </row>
    <row r="14" spans="1:203" ht="19.5" customHeight="1" thickBot="1" x14ac:dyDescent="0.3">
      <c r="B14" s="130"/>
      <c r="C14" s="92">
        <v>2</v>
      </c>
      <c r="D14" s="112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22"/>
      <c r="V14" s="122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13"/>
      <c r="AP14" s="113"/>
      <c r="AQ14" s="114"/>
      <c r="AR14" s="112"/>
      <c r="AS14" s="113"/>
      <c r="AT14" s="113"/>
      <c r="AU14" s="113"/>
      <c r="AV14" s="113"/>
      <c r="AW14" s="113"/>
      <c r="AX14" s="113"/>
      <c r="AY14" s="113"/>
      <c r="AZ14" s="113"/>
      <c r="BA14" s="113"/>
      <c r="BB14" s="113"/>
      <c r="BC14" s="113"/>
      <c r="BD14" s="113"/>
      <c r="BE14" s="113"/>
      <c r="BF14" s="113"/>
      <c r="BG14" s="113"/>
      <c r="BH14" s="113"/>
      <c r="BI14" s="113"/>
      <c r="BJ14" s="113"/>
      <c r="BK14" s="113"/>
      <c r="BL14" s="113"/>
      <c r="BM14" s="113"/>
      <c r="BN14" s="113"/>
      <c r="BO14" s="113"/>
      <c r="BP14" s="113"/>
      <c r="BQ14" s="113"/>
      <c r="BR14" s="113"/>
      <c r="BS14" s="113"/>
      <c r="BT14" s="113"/>
      <c r="BU14" s="113"/>
      <c r="BV14" s="113"/>
      <c r="BW14" s="113"/>
      <c r="BX14" s="113"/>
      <c r="BY14" s="113"/>
      <c r="BZ14" s="113"/>
      <c r="CA14" s="113"/>
      <c r="CB14" s="113"/>
      <c r="CC14" s="113"/>
      <c r="CD14" s="113"/>
      <c r="CE14" s="114"/>
      <c r="CF14" s="112"/>
      <c r="CG14" s="113"/>
      <c r="CH14" s="113"/>
      <c r="CI14" s="113"/>
      <c r="CJ14" s="113"/>
      <c r="CK14" s="113"/>
      <c r="CL14" s="113"/>
      <c r="CM14" s="113"/>
      <c r="CN14" s="113"/>
      <c r="CO14" s="113"/>
      <c r="CP14" s="113"/>
      <c r="CQ14" s="113"/>
      <c r="CR14" s="113"/>
      <c r="CS14" s="113"/>
      <c r="CT14" s="113"/>
      <c r="CU14" s="113"/>
      <c r="CV14" s="113"/>
      <c r="CW14" s="113"/>
      <c r="CX14" s="113"/>
      <c r="CY14" s="113"/>
      <c r="CZ14" s="113"/>
      <c r="DA14" s="113"/>
      <c r="DB14" s="113"/>
      <c r="DC14" s="113"/>
      <c r="DD14" s="113"/>
      <c r="DE14" s="113"/>
      <c r="DF14" s="113"/>
      <c r="DG14" s="113"/>
      <c r="DH14" s="113"/>
      <c r="DI14" s="113"/>
      <c r="DJ14" s="113"/>
      <c r="DK14" s="113"/>
      <c r="DL14" s="113"/>
      <c r="DM14" s="113"/>
      <c r="DN14" s="113"/>
      <c r="DO14" s="113"/>
      <c r="DP14" s="113"/>
      <c r="DQ14" s="113"/>
      <c r="DR14" s="113"/>
      <c r="DS14" s="114"/>
      <c r="DT14" s="112"/>
      <c r="DU14" s="113"/>
      <c r="DV14" s="113"/>
      <c r="DW14" s="113"/>
      <c r="DX14" s="113"/>
      <c r="DY14" s="113"/>
      <c r="DZ14" s="113"/>
      <c r="EA14" s="113"/>
      <c r="EB14" s="113"/>
      <c r="EC14" s="113"/>
      <c r="ED14" s="113"/>
      <c r="EE14" s="113"/>
      <c r="EF14" s="113"/>
      <c r="EG14" s="113"/>
      <c r="EH14" s="113"/>
      <c r="EI14" s="113"/>
      <c r="EJ14" s="113"/>
      <c r="EK14" s="113"/>
      <c r="EL14" s="113"/>
      <c r="EM14" s="113"/>
      <c r="EN14" s="113"/>
      <c r="EO14" s="113"/>
      <c r="EP14" s="113"/>
      <c r="EQ14" s="113"/>
      <c r="ER14" s="113"/>
      <c r="ES14" s="113"/>
      <c r="ET14" s="113"/>
      <c r="EU14" s="113"/>
      <c r="EV14" s="113"/>
      <c r="EW14" s="113"/>
      <c r="EX14" s="113"/>
      <c r="EY14" s="113"/>
      <c r="EZ14" s="113"/>
      <c r="FA14" s="113"/>
      <c r="FB14" s="113"/>
      <c r="FC14" s="113"/>
      <c r="FD14" s="113"/>
      <c r="FE14" s="113"/>
      <c r="FF14" s="113"/>
      <c r="FG14" s="114"/>
      <c r="FH14" s="112"/>
      <c r="FI14" s="113"/>
      <c r="FJ14" s="113"/>
      <c r="FK14" s="113"/>
      <c r="FL14" s="113"/>
      <c r="FM14" s="113"/>
      <c r="FN14" s="113"/>
      <c r="FO14" s="113"/>
      <c r="FP14" s="113"/>
      <c r="FQ14" s="113"/>
      <c r="FR14" s="113"/>
      <c r="FS14" s="113"/>
      <c r="FT14" s="113"/>
      <c r="FU14" s="113"/>
      <c r="FV14" s="113"/>
      <c r="FW14" s="113"/>
      <c r="FX14" s="113"/>
      <c r="FY14" s="113"/>
      <c r="FZ14" s="113"/>
      <c r="GA14" s="113"/>
      <c r="GB14" s="113"/>
      <c r="GC14" s="113"/>
      <c r="GD14" s="113"/>
      <c r="GE14" s="113"/>
      <c r="GF14" s="113"/>
      <c r="GG14" s="113"/>
      <c r="GH14" s="113"/>
      <c r="GI14" s="113"/>
      <c r="GJ14" s="113"/>
      <c r="GK14" s="113"/>
      <c r="GL14" s="113"/>
      <c r="GM14" s="113"/>
      <c r="GN14" s="113"/>
      <c r="GO14" s="113"/>
      <c r="GP14" s="113"/>
      <c r="GQ14" s="113"/>
      <c r="GR14" s="113"/>
      <c r="GS14" s="113"/>
      <c r="GT14" s="113"/>
      <c r="GU14" s="114"/>
    </row>
    <row r="15" spans="1:203" ht="19.5" customHeight="1" x14ac:dyDescent="0.25">
      <c r="B15" s="129" t="str">
        <f>Donnees!$C$26</f>
        <v>Créer la structure nodejs</v>
      </c>
      <c r="C15" s="91">
        <v>10</v>
      </c>
      <c r="D15" s="109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9"/>
      <c r="AB15" s="119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1"/>
      <c r="AR15" s="109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9"/>
      <c r="BN15" s="119"/>
      <c r="BO15" s="119"/>
      <c r="BP15" s="119"/>
      <c r="BQ15" s="110"/>
      <c r="BR15" s="110"/>
      <c r="BS15" s="110"/>
      <c r="BT15" s="110"/>
      <c r="BU15" s="110"/>
      <c r="BV15" s="110"/>
      <c r="BW15" s="110"/>
      <c r="BX15" s="110"/>
      <c r="BY15" s="110"/>
      <c r="BZ15" s="110"/>
      <c r="CA15" s="110"/>
      <c r="CB15" s="110"/>
      <c r="CC15" s="110"/>
      <c r="CD15" s="110"/>
      <c r="CE15" s="111"/>
      <c r="CF15" s="109"/>
      <c r="CG15" s="110"/>
      <c r="CH15" s="110"/>
      <c r="CI15" s="110"/>
      <c r="CJ15" s="110"/>
      <c r="CK15" s="110"/>
      <c r="CL15" s="110"/>
      <c r="CM15" s="110"/>
      <c r="CN15" s="110"/>
      <c r="CO15" s="110"/>
      <c r="CP15" s="110"/>
      <c r="CQ15" s="110"/>
      <c r="CR15" s="110"/>
      <c r="CS15" s="110"/>
      <c r="CT15" s="110"/>
      <c r="CU15" s="110"/>
      <c r="CV15" s="110"/>
      <c r="CW15" s="119"/>
      <c r="CX15" s="119"/>
      <c r="CY15" s="119"/>
      <c r="CZ15" s="119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1"/>
      <c r="DT15" s="109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1"/>
      <c r="FH15" s="109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  <c r="GA15" s="110"/>
      <c r="GB15" s="110"/>
      <c r="GC15" s="110"/>
      <c r="GD15" s="110"/>
      <c r="GE15" s="110"/>
      <c r="GF15" s="110"/>
      <c r="GG15" s="110"/>
      <c r="GH15" s="110"/>
      <c r="GI15" s="110"/>
      <c r="GJ15" s="110"/>
      <c r="GK15" s="110"/>
      <c r="GL15" s="110"/>
      <c r="GM15" s="110"/>
      <c r="GN15" s="110"/>
      <c r="GO15" s="110"/>
      <c r="GP15" s="110"/>
      <c r="GQ15" s="110"/>
      <c r="GR15" s="110"/>
      <c r="GS15" s="110"/>
      <c r="GT15" s="110"/>
      <c r="GU15" s="111"/>
    </row>
    <row r="16" spans="1:203" ht="19.5" customHeight="1" thickBot="1" x14ac:dyDescent="0.3">
      <c r="A16" s="93"/>
      <c r="B16" s="130"/>
      <c r="C16" s="92">
        <v>8</v>
      </c>
      <c r="D16" s="112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3"/>
      <c r="AA16" s="113"/>
      <c r="AB16" s="122"/>
      <c r="AC16" s="113"/>
      <c r="AD16" s="113"/>
      <c r="AE16" s="113"/>
      <c r="AF16" s="113"/>
      <c r="AG16" s="113"/>
      <c r="AH16" s="113"/>
      <c r="AI16" s="113"/>
      <c r="AJ16" s="113"/>
      <c r="AK16" s="122"/>
      <c r="AL16" s="122"/>
      <c r="AM16" s="122"/>
      <c r="AN16" s="122"/>
      <c r="AO16" s="113"/>
      <c r="AP16" s="113"/>
      <c r="AQ16" s="114"/>
      <c r="AR16" s="112"/>
      <c r="AS16" s="113"/>
      <c r="AT16" s="113"/>
      <c r="AU16" s="113"/>
      <c r="AV16" s="113"/>
      <c r="AW16" s="113"/>
      <c r="AX16" s="113"/>
      <c r="AY16" s="113"/>
      <c r="AZ16" s="113"/>
      <c r="BA16" s="113"/>
      <c r="BB16" s="113"/>
      <c r="BC16" s="113"/>
      <c r="BD16" s="122"/>
      <c r="BE16" s="122"/>
      <c r="BF16" s="122"/>
      <c r="BG16" s="113"/>
      <c r="BH16" s="113"/>
      <c r="BI16" s="113"/>
      <c r="BJ16" s="113"/>
      <c r="BK16" s="113"/>
      <c r="BL16" s="113"/>
      <c r="BM16" s="113"/>
      <c r="BN16" s="113"/>
      <c r="BO16" s="113"/>
      <c r="BP16" s="113"/>
      <c r="BQ16" s="113"/>
      <c r="BR16" s="113"/>
      <c r="BS16" s="113"/>
      <c r="BT16" s="113"/>
      <c r="BU16" s="113"/>
      <c r="BV16" s="113"/>
      <c r="BW16" s="113"/>
      <c r="BX16" s="113"/>
      <c r="BY16" s="113"/>
      <c r="BZ16" s="113"/>
      <c r="CA16" s="113"/>
      <c r="CB16" s="113"/>
      <c r="CC16" s="113"/>
      <c r="CD16" s="113"/>
      <c r="CE16" s="114"/>
      <c r="CF16" s="112"/>
      <c r="CG16" s="113"/>
      <c r="CH16" s="113"/>
      <c r="CI16" s="113"/>
      <c r="CJ16" s="113"/>
      <c r="CK16" s="113"/>
      <c r="CL16" s="113"/>
      <c r="CM16" s="113"/>
      <c r="CN16" s="113"/>
      <c r="CO16" s="113"/>
      <c r="CP16" s="113"/>
      <c r="CQ16" s="113"/>
      <c r="CR16" s="113"/>
      <c r="CS16" s="113"/>
      <c r="CT16" s="113"/>
      <c r="CU16" s="113"/>
      <c r="CV16" s="113"/>
      <c r="CW16" s="113"/>
      <c r="CX16" s="113"/>
      <c r="CY16" s="113"/>
      <c r="CZ16" s="113"/>
      <c r="DA16" s="113"/>
      <c r="DB16" s="113"/>
      <c r="DC16" s="113"/>
      <c r="DD16" s="113"/>
      <c r="DE16" s="113"/>
      <c r="DF16" s="113"/>
      <c r="DG16" s="113"/>
      <c r="DH16" s="113"/>
      <c r="DI16" s="113"/>
      <c r="DJ16" s="113"/>
      <c r="DK16" s="113"/>
      <c r="DL16" s="113"/>
      <c r="DM16" s="113"/>
      <c r="DN16" s="113"/>
      <c r="DO16" s="113"/>
      <c r="DP16" s="113"/>
      <c r="DQ16" s="113"/>
      <c r="DR16" s="113"/>
      <c r="DS16" s="114"/>
      <c r="DT16" s="112"/>
      <c r="DU16" s="113"/>
      <c r="DV16" s="113"/>
      <c r="DW16" s="113"/>
      <c r="DX16" s="113"/>
      <c r="DY16" s="113"/>
      <c r="DZ16" s="113"/>
      <c r="EA16" s="113"/>
      <c r="EB16" s="113"/>
      <c r="EC16" s="113"/>
      <c r="ED16" s="113"/>
      <c r="EE16" s="113"/>
      <c r="EF16" s="113"/>
      <c r="EG16" s="113"/>
      <c r="EH16" s="113"/>
      <c r="EI16" s="113"/>
      <c r="EJ16" s="113"/>
      <c r="EK16" s="113"/>
      <c r="EL16" s="113"/>
      <c r="EM16" s="113"/>
      <c r="EN16" s="113"/>
      <c r="EO16" s="113"/>
      <c r="EP16" s="113"/>
      <c r="EQ16" s="113"/>
      <c r="ER16" s="113"/>
      <c r="ES16" s="113"/>
      <c r="ET16" s="113"/>
      <c r="EU16" s="113"/>
      <c r="EV16" s="113"/>
      <c r="EW16" s="113"/>
      <c r="EX16" s="113"/>
      <c r="EY16" s="113"/>
      <c r="EZ16" s="113"/>
      <c r="FA16" s="113"/>
      <c r="FB16" s="113"/>
      <c r="FC16" s="113"/>
      <c r="FD16" s="113"/>
      <c r="FE16" s="113"/>
      <c r="FF16" s="113"/>
      <c r="FG16" s="114"/>
      <c r="FH16" s="112"/>
      <c r="FI16" s="113"/>
      <c r="FJ16" s="113"/>
      <c r="FK16" s="113"/>
      <c r="FL16" s="113"/>
      <c r="FM16" s="113"/>
      <c r="FN16" s="113"/>
      <c r="FO16" s="113"/>
      <c r="FP16" s="113"/>
      <c r="FQ16" s="113"/>
      <c r="FR16" s="113"/>
      <c r="FS16" s="113"/>
      <c r="FT16" s="113"/>
      <c r="FU16" s="113"/>
      <c r="FV16" s="113"/>
      <c r="FW16" s="113"/>
      <c r="FX16" s="113"/>
      <c r="FY16" s="113"/>
      <c r="FZ16" s="113"/>
      <c r="GA16" s="113"/>
      <c r="GB16" s="113"/>
      <c r="GC16" s="113"/>
      <c r="GD16" s="113"/>
      <c r="GE16" s="113"/>
      <c r="GF16" s="113"/>
      <c r="GG16" s="113"/>
      <c r="GH16" s="113"/>
      <c r="GI16" s="113"/>
      <c r="GJ16" s="113"/>
      <c r="GK16" s="113"/>
      <c r="GL16" s="113"/>
      <c r="GM16" s="113"/>
      <c r="GN16" s="113"/>
      <c r="GO16" s="113"/>
      <c r="GP16" s="113"/>
      <c r="GQ16" s="113"/>
      <c r="GR16" s="113"/>
      <c r="GS16" s="113"/>
      <c r="GT16" s="113"/>
      <c r="GU16" s="114"/>
    </row>
    <row r="17" spans="2:203" ht="19.5" customHeight="1" x14ac:dyDescent="0.25">
      <c r="B17" s="129" t="str">
        <f>Donnees!$C$27</f>
        <v>Créer les modèles html (pages)</v>
      </c>
      <c r="C17" s="91">
        <v>9</v>
      </c>
      <c r="D17" s="109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1"/>
      <c r="AR17" s="109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10"/>
      <c r="BW17" s="110"/>
      <c r="BX17" s="110"/>
      <c r="BY17" s="110"/>
      <c r="BZ17" s="110"/>
      <c r="CA17" s="110"/>
      <c r="CB17" s="110"/>
      <c r="CC17" s="110"/>
      <c r="CD17" s="110"/>
      <c r="CE17" s="111"/>
      <c r="CF17" s="109"/>
      <c r="CG17" s="110"/>
      <c r="CH17" s="110"/>
      <c r="CI17" s="110"/>
      <c r="CJ17" s="119"/>
      <c r="CK17" s="119"/>
      <c r="CL17" s="119"/>
      <c r="CM17" s="119"/>
      <c r="CN17" s="110"/>
      <c r="CO17" s="110"/>
      <c r="CP17" s="110"/>
      <c r="CQ17" s="110"/>
      <c r="CR17" s="119"/>
      <c r="CS17" s="119"/>
      <c r="CT17" s="119"/>
      <c r="CU17" s="119"/>
      <c r="CV17" s="119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1"/>
      <c r="DT17" s="109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1"/>
      <c r="FH17" s="109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  <c r="GA17" s="110"/>
      <c r="GB17" s="110"/>
      <c r="GC17" s="110"/>
      <c r="GD17" s="110"/>
      <c r="GE17" s="110"/>
      <c r="GF17" s="110"/>
      <c r="GG17" s="110"/>
      <c r="GH17" s="110"/>
      <c r="GI17" s="110"/>
      <c r="GJ17" s="110"/>
      <c r="GK17" s="110"/>
      <c r="GL17" s="110"/>
      <c r="GM17" s="110"/>
      <c r="GN17" s="110"/>
      <c r="GO17" s="110"/>
      <c r="GP17" s="110"/>
      <c r="GQ17" s="110"/>
      <c r="GR17" s="110"/>
      <c r="GS17" s="110"/>
      <c r="GT17" s="110"/>
      <c r="GU17" s="111"/>
    </row>
    <row r="18" spans="2:203" ht="19.5" customHeight="1" thickBot="1" x14ac:dyDescent="0.3">
      <c r="B18" s="130"/>
      <c r="C18" s="92">
        <v>3</v>
      </c>
      <c r="D18" s="112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22"/>
      <c r="AP18" s="122"/>
      <c r="AQ18" s="135"/>
      <c r="AR18" s="112"/>
      <c r="AS18" s="113"/>
      <c r="AT18" s="113"/>
      <c r="AU18" s="113"/>
      <c r="AV18" s="113"/>
      <c r="AW18" s="113"/>
      <c r="AX18" s="113"/>
      <c r="AY18" s="113"/>
      <c r="AZ18" s="113"/>
      <c r="BA18" s="113"/>
      <c r="BB18" s="113"/>
      <c r="BC18" s="113"/>
      <c r="BD18" s="113"/>
      <c r="BE18" s="113"/>
      <c r="BF18" s="113"/>
      <c r="BG18" s="113"/>
      <c r="BH18" s="113"/>
      <c r="BI18" s="113"/>
      <c r="BJ18" s="113"/>
      <c r="BK18" s="113"/>
      <c r="BL18" s="113"/>
      <c r="BM18" s="113"/>
      <c r="BN18" s="113"/>
      <c r="BO18" s="113"/>
      <c r="BP18" s="113"/>
      <c r="BQ18" s="113"/>
      <c r="BR18" s="113"/>
      <c r="BS18" s="113"/>
      <c r="BT18" s="113"/>
      <c r="BU18" s="113"/>
      <c r="BV18" s="113"/>
      <c r="BW18" s="113"/>
      <c r="BX18" s="113"/>
      <c r="BY18" s="113"/>
      <c r="BZ18" s="113"/>
      <c r="CA18" s="113"/>
      <c r="CB18" s="113"/>
      <c r="CC18" s="113"/>
      <c r="CD18" s="113"/>
      <c r="CE18" s="114"/>
      <c r="CF18" s="112"/>
      <c r="CG18" s="113"/>
      <c r="CH18" s="113"/>
      <c r="CI18" s="113"/>
      <c r="CJ18" s="113"/>
      <c r="CK18" s="113"/>
      <c r="CL18" s="113"/>
      <c r="CM18" s="113"/>
      <c r="CN18" s="113"/>
      <c r="CO18" s="113"/>
      <c r="CP18" s="113"/>
      <c r="CQ18" s="113"/>
      <c r="CR18" s="113"/>
      <c r="CS18" s="113"/>
      <c r="CT18" s="113"/>
      <c r="CU18" s="113"/>
      <c r="CV18" s="113"/>
      <c r="CW18" s="113"/>
      <c r="CX18" s="113"/>
      <c r="CY18" s="113"/>
      <c r="CZ18" s="113"/>
      <c r="DA18" s="113"/>
      <c r="DB18" s="113"/>
      <c r="DC18" s="113"/>
      <c r="DD18" s="113"/>
      <c r="DE18" s="113"/>
      <c r="DF18" s="113"/>
      <c r="DG18" s="113"/>
      <c r="DH18" s="113"/>
      <c r="DI18" s="113"/>
      <c r="DJ18" s="113"/>
      <c r="DK18" s="113"/>
      <c r="DL18" s="113"/>
      <c r="DM18" s="113"/>
      <c r="DN18" s="113"/>
      <c r="DO18" s="113"/>
      <c r="DP18" s="113"/>
      <c r="DQ18" s="113"/>
      <c r="DR18" s="113"/>
      <c r="DS18" s="114"/>
      <c r="DT18" s="112"/>
      <c r="DU18" s="113"/>
      <c r="DV18" s="113"/>
      <c r="DW18" s="113"/>
      <c r="DX18" s="113"/>
      <c r="DY18" s="113"/>
      <c r="DZ18" s="113"/>
      <c r="EA18" s="113"/>
      <c r="EB18" s="113"/>
      <c r="EC18" s="113"/>
      <c r="ED18" s="113"/>
      <c r="EE18" s="113"/>
      <c r="EF18" s="113"/>
      <c r="EG18" s="113"/>
      <c r="EH18" s="113"/>
      <c r="EI18" s="113"/>
      <c r="EJ18" s="113"/>
      <c r="EK18" s="113"/>
      <c r="EL18" s="113"/>
      <c r="EM18" s="113"/>
      <c r="EN18" s="113"/>
      <c r="EO18" s="113"/>
      <c r="EP18" s="113"/>
      <c r="EQ18" s="113"/>
      <c r="ER18" s="113"/>
      <c r="ES18" s="113"/>
      <c r="ET18" s="113"/>
      <c r="EU18" s="113"/>
      <c r="EV18" s="113"/>
      <c r="EW18" s="113"/>
      <c r="EX18" s="113"/>
      <c r="EY18" s="113"/>
      <c r="EZ18" s="113"/>
      <c r="FA18" s="113"/>
      <c r="FB18" s="113"/>
      <c r="FC18" s="113"/>
      <c r="FD18" s="113"/>
      <c r="FE18" s="113"/>
      <c r="FF18" s="113"/>
      <c r="FG18" s="114"/>
      <c r="FH18" s="112"/>
      <c r="FI18" s="113"/>
      <c r="FJ18" s="113"/>
      <c r="FK18" s="113"/>
      <c r="FL18" s="113"/>
      <c r="FM18" s="113"/>
      <c r="FN18" s="113"/>
      <c r="FO18" s="113"/>
      <c r="FP18" s="113"/>
      <c r="FQ18" s="113"/>
      <c r="FR18" s="113"/>
      <c r="FS18" s="113"/>
      <c r="FT18" s="113"/>
      <c r="FU18" s="113"/>
      <c r="FV18" s="113"/>
      <c r="FW18" s="113"/>
      <c r="FX18" s="113"/>
      <c r="FY18" s="113"/>
      <c r="FZ18" s="113"/>
      <c r="GA18" s="113"/>
      <c r="GB18" s="113"/>
      <c r="GC18" s="113"/>
      <c r="GD18" s="113"/>
      <c r="GE18" s="113"/>
      <c r="GF18" s="113"/>
      <c r="GG18" s="113"/>
      <c r="GH18" s="113"/>
      <c r="GI18" s="113"/>
      <c r="GJ18" s="113"/>
      <c r="GK18" s="113"/>
      <c r="GL18" s="113"/>
      <c r="GM18" s="113"/>
      <c r="GN18" s="113"/>
      <c r="GO18" s="113"/>
      <c r="GP18" s="113"/>
      <c r="GQ18" s="113"/>
      <c r="GR18" s="113"/>
      <c r="GS18" s="113"/>
      <c r="GT18" s="113"/>
      <c r="GU18" s="114"/>
    </row>
    <row r="19" spans="2:203" ht="19.5" customHeight="1" x14ac:dyDescent="0.25">
      <c r="B19" s="129" t="str">
        <f>Donnees!$C$28</f>
        <v>Créer l'api nodejs</v>
      </c>
      <c r="C19" s="91">
        <v>9</v>
      </c>
      <c r="D19" s="109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1"/>
      <c r="AR19" s="109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9"/>
      <c r="BE19" s="119"/>
      <c r="BF19" s="119"/>
      <c r="BG19" s="119"/>
      <c r="BH19" s="119"/>
      <c r="BI19" s="119"/>
      <c r="BJ19" s="119"/>
      <c r="BK19" s="119"/>
      <c r="BL19" s="119"/>
      <c r="BM19" s="110"/>
      <c r="BN19" s="110"/>
      <c r="BO19" s="110"/>
      <c r="BP19" s="110"/>
      <c r="BQ19" s="110"/>
      <c r="BR19" s="110"/>
      <c r="BS19" s="110"/>
      <c r="BT19" s="110"/>
      <c r="BU19" s="110"/>
      <c r="BV19" s="110"/>
      <c r="BW19" s="110"/>
      <c r="BX19" s="110"/>
      <c r="BY19" s="110"/>
      <c r="BZ19" s="110"/>
      <c r="CA19" s="110"/>
      <c r="CB19" s="110"/>
      <c r="CC19" s="110"/>
      <c r="CD19" s="110"/>
      <c r="CE19" s="111"/>
      <c r="CF19" s="109"/>
      <c r="CG19" s="110"/>
      <c r="CH19" s="110"/>
      <c r="CI19" s="110"/>
      <c r="CJ19" s="110"/>
      <c r="CK19" s="110"/>
      <c r="CL19" s="110"/>
      <c r="CM19" s="110"/>
      <c r="CN19" s="110"/>
      <c r="CO19" s="110"/>
      <c r="CP19" s="110"/>
      <c r="CQ19" s="110"/>
      <c r="CR19" s="110"/>
      <c r="CS19" s="110"/>
      <c r="CT19" s="110"/>
      <c r="CU19" s="110"/>
      <c r="CV19" s="110"/>
      <c r="CW19" s="110"/>
      <c r="CX19" s="110"/>
      <c r="CY19" s="110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1"/>
      <c r="DT19" s="109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1"/>
      <c r="FH19" s="109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  <c r="GA19" s="110"/>
      <c r="GB19" s="110"/>
      <c r="GC19" s="110"/>
      <c r="GD19" s="110"/>
      <c r="GE19" s="110"/>
      <c r="GF19" s="110"/>
      <c r="GG19" s="110"/>
      <c r="GH19" s="110"/>
      <c r="GI19" s="110"/>
      <c r="GJ19" s="110"/>
      <c r="GK19" s="110"/>
      <c r="GL19" s="110"/>
      <c r="GM19" s="110"/>
      <c r="GN19" s="110"/>
      <c r="GO19" s="110"/>
      <c r="GP19" s="110"/>
      <c r="GQ19" s="110"/>
      <c r="GR19" s="110"/>
      <c r="GS19" s="110"/>
      <c r="GT19" s="110"/>
      <c r="GU19" s="111"/>
    </row>
    <row r="20" spans="2:203" ht="19.5" customHeight="1" thickBot="1" x14ac:dyDescent="0.3">
      <c r="B20" s="130"/>
      <c r="C20" s="92">
        <v>3</v>
      </c>
      <c r="D20" s="112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22"/>
      <c r="Z20" s="122"/>
      <c r="AA20" s="122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4"/>
      <c r="AR20" s="112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3"/>
      <c r="CA20" s="113"/>
      <c r="CB20" s="113"/>
      <c r="CC20" s="113"/>
      <c r="CD20" s="113"/>
      <c r="CE20" s="114"/>
      <c r="CF20" s="112"/>
      <c r="CG20" s="113"/>
      <c r="CH20" s="113"/>
      <c r="CI20" s="113"/>
      <c r="CJ20" s="113"/>
      <c r="CK20" s="113"/>
      <c r="CL20" s="113"/>
      <c r="CM20" s="113"/>
      <c r="CN20" s="113"/>
      <c r="CO20" s="113"/>
      <c r="CP20" s="113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3"/>
      <c r="DK20" s="113"/>
      <c r="DL20" s="113"/>
      <c r="DM20" s="113"/>
      <c r="DN20" s="113"/>
      <c r="DO20" s="113"/>
      <c r="DP20" s="113"/>
      <c r="DQ20" s="113"/>
      <c r="DR20" s="113"/>
      <c r="DS20" s="114"/>
      <c r="DT20" s="112"/>
      <c r="DU20" s="113"/>
      <c r="DV20" s="113"/>
      <c r="DW20" s="113"/>
      <c r="DX20" s="113"/>
      <c r="DY20" s="113"/>
      <c r="DZ20" s="113"/>
      <c r="EA20" s="113"/>
      <c r="EB20" s="113"/>
      <c r="EC20" s="113"/>
      <c r="ED20" s="113"/>
      <c r="EE20" s="113"/>
      <c r="EF20" s="113"/>
      <c r="EG20" s="113"/>
      <c r="EH20" s="113"/>
      <c r="EI20" s="113"/>
      <c r="EJ20" s="113"/>
      <c r="EK20" s="113"/>
      <c r="EL20" s="113"/>
      <c r="EM20" s="113"/>
      <c r="EN20" s="113"/>
      <c r="EO20" s="113"/>
      <c r="EP20" s="113"/>
      <c r="EQ20" s="113"/>
      <c r="ER20" s="113"/>
      <c r="ES20" s="113"/>
      <c r="ET20" s="113"/>
      <c r="EU20" s="113"/>
      <c r="EV20" s="113"/>
      <c r="EW20" s="113"/>
      <c r="EX20" s="113"/>
      <c r="EY20" s="113"/>
      <c r="EZ20" s="113"/>
      <c r="FA20" s="113"/>
      <c r="FB20" s="113"/>
      <c r="FC20" s="113"/>
      <c r="FD20" s="113"/>
      <c r="FE20" s="113"/>
      <c r="FF20" s="113"/>
      <c r="FG20" s="114"/>
      <c r="FH20" s="112"/>
      <c r="FI20" s="113"/>
      <c r="FJ20" s="113"/>
      <c r="FK20" s="113"/>
      <c r="FL20" s="113"/>
      <c r="FM20" s="113"/>
      <c r="FN20" s="113"/>
      <c r="FO20" s="113"/>
      <c r="FP20" s="113"/>
      <c r="FQ20" s="113"/>
      <c r="FR20" s="113"/>
      <c r="FS20" s="113"/>
      <c r="FT20" s="113"/>
      <c r="FU20" s="113"/>
      <c r="FV20" s="113"/>
      <c r="FW20" s="113"/>
      <c r="FX20" s="113"/>
      <c r="FY20" s="113"/>
      <c r="FZ20" s="113"/>
      <c r="GA20" s="113"/>
      <c r="GB20" s="113"/>
      <c r="GC20" s="113"/>
      <c r="GD20" s="113"/>
      <c r="GE20" s="113"/>
      <c r="GF20" s="113"/>
      <c r="GG20" s="113"/>
      <c r="GH20" s="113"/>
      <c r="GI20" s="113"/>
      <c r="GJ20" s="113"/>
      <c r="GK20" s="113"/>
      <c r="GL20" s="113"/>
      <c r="GM20" s="113"/>
      <c r="GN20" s="113"/>
      <c r="GO20" s="113"/>
      <c r="GP20" s="113"/>
      <c r="GQ20" s="113"/>
      <c r="GR20" s="113"/>
      <c r="GS20" s="113"/>
      <c r="GT20" s="113"/>
      <c r="GU20" s="114"/>
    </row>
    <row r="21" spans="2:203" ht="19.5" customHeight="1" x14ac:dyDescent="0.25">
      <c r="B21" s="129" t="str">
        <f>Donnees!$C$29</f>
        <v>Créer le système d'utilisateur</v>
      </c>
      <c r="C21" s="91">
        <v>0</v>
      </c>
      <c r="D21" s="109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1"/>
      <c r="AR21" s="109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10"/>
      <c r="BW21" s="110"/>
      <c r="BX21" s="110"/>
      <c r="BY21" s="110"/>
      <c r="BZ21" s="110"/>
      <c r="CA21" s="110"/>
      <c r="CB21" s="110"/>
      <c r="CC21" s="110"/>
      <c r="CD21" s="110"/>
      <c r="CE21" s="111"/>
      <c r="CF21" s="109"/>
      <c r="CG21" s="110"/>
      <c r="CH21" s="110"/>
      <c r="CI21" s="110"/>
      <c r="CJ21" s="110"/>
      <c r="CK21" s="110"/>
      <c r="CL21" s="110"/>
      <c r="CM21" s="110"/>
      <c r="CN21" s="110"/>
      <c r="CO21" s="110"/>
      <c r="CP21" s="110"/>
      <c r="CQ21" s="110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1"/>
      <c r="DT21" s="109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1"/>
      <c r="FH21" s="109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  <c r="GA21" s="110"/>
      <c r="GB21" s="110"/>
      <c r="GC21" s="110"/>
      <c r="GD21" s="110"/>
      <c r="GE21" s="110"/>
      <c r="GF21" s="110"/>
      <c r="GG21" s="110"/>
      <c r="GH21" s="110"/>
      <c r="GI21" s="110"/>
      <c r="GJ21" s="110"/>
      <c r="GK21" s="110"/>
      <c r="GL21" s="110"/>
      <c r="GM21" s="110"/>
      <c r="GN21" s="110"/>
      <c r="GO21" s="110"/>
      <c r="GP21" s="110"/>
      <c r="GQ21" s="110"/>
      <c r="GR21" s="110"/>
      <c r="GS21" s="110"/>
      <c r="GT21" s="110"/>
      <c r="GU21" s="111"/>
    </row>
    <row r="22" spans="2:203" ht="19.5" customHeight="1" thickBot="1" x14ac:dyDescent="0.3">
      <c r="B22" s="130"/>
      <c r="C22" s="92">
        <v>0</v>
      </c>
      <c r="D22" s="112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4"/>
      <c r="AR22" s="112"/>
      <c r="AS22" s="113"/>
      <c r="AT22" s="113"/>
      <c r="AU22" s="113"/>
      <c r="AV22" s="113"/>
      <c r="AW22" s="113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13"/>
      <c r="BK22" s="113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13"/>
      <c r="BZ22" s="113"/>
      <c r="CA22" s="113"/>
      <c r="CB22" s="113"/>
      <c r="CC22" s="113"/>
      <c r="CD22" s="113"/>
      <c r="CE22" s="114"/>
      <c r="CF22" s="112"/>
      <c r="CG22" s="113"/>
      <c r="CH22" s="113"/>
      <c r="CI22" s="113"/>
      <c r="CJ22" s="113"/>
      <c r="CK22" s="113"/>
      <c r="CL22" s="113"/>
      <c r="CM22" s="113"/>
      <c r="CN22" s="113"/>
      <c r="CO22" s="113"/>
      <c r="CP22" s="113"/>
      <c r="CQ22" s="113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3"/>
      <c r="DK22" s="113"/>
      <c r="DL22" s="113"/>
      <c r="DM22" s="113"/>
      <c r="DN22" s="113"/>
      <c r="DO22" s="113"/>
      <c r="DP22" s="113"/>
      <c r="DQ22" s="113"/>
      <c r="DR22" s="113"/>
      <c r="DS22" s="114"/>
      <c r="DT22" s="112"/>
      <c r="DU22" s="113"/>
      <c r="DV22" s="113"/>
      <c r="DW22" s="113"/>
      <c r="DX22" s="113"/>
      <c r="DY22" s="113"/>
      <c r="DZ22" s="113"/>
      <c r="EA22" s="113"/>
      <c r="EB22" s="113"/>
      <c r="EC22" s="113"/>
      <c r="ED22" s="113"/>
      <c r="EE22" s="113"/>
      <c r="EF22" s="113"/>
      <c r="EG22" s="113"/>
      <c r="EH22" s="113"/>
      <c r="EI22" s="113"/>
      <c r="EJ22" s="113"/>
      <c r="EK22" s="113"/>
      <c r="EL22" s="113"/>
      <c r="EM22" s="113"/>
      <c r="EN22" s="113"/>
      <c r="EO22" s="113"/>
      <c r="EP22" s="113"/>
      <c r="EQ22" s="113"/>
      <c r="ER22" s="113"/>
      <c r="ES22" s="113"/>
      <c r="ET22" s="113"/>
      <c r="EU22" s="113"/>
      <c r="EV22" s="113"/>
      <c r="EW22" s="113"/>
      <c r="EX22" s="113"/>
      <c r="EY22" s="113"/>
      <c r="EZ22" s="113"/>
      <c r="FA22" s="113"/>
      <c r="FB22" s="113"/>
      <c r="FC22" s="113"/>
      <c r="FD22" s="113"/>
      <c r="FE22" s="113"/>
      <c r="FF22" s="113"/>
      <c r="FG22" s="114"/>
      <c r="FH22" s="112"/>
      <c r="FI22" s="113"/>
      <c r="FJ22" s="113"/>
      <c r="FK22" s="113"/>
      <c r="FL22" s="113"/>
      <c r="FM22" s="113"/>
      <c r="FN22" s="113"/>
      <c r="FO22" s="113"/>
      <c r="FP22" s="113"/>
      <c r="FQ22" s="113"/>
      <c r="FR22" s="113"/>
      <c r="FS22" s="113"/>
      <c r="FT22" s="113"/>
      <c r="FU22" s="113"/>
      <c r="FV22" s="113"/>
      <c r="FW22" s="113"/>
      <c r="FX22" s="113"/>
      <c r="FY22" s="113"/>
      <c r="FZ22" s="113"/>
      <c r="GA22" s="113"/>
      <c r="GB22" s="113"/>
      <c r="GC22" s="113"/>
      <c r="GD22" s="113"/>
      <c r="GE22" s="113"/>
      <c r="GF22" s="113"/>
      <c r="GG22" s="113"/>
      <c r="GH22" s="113"/>
      <c r="GI22" s="113"/>
      <c r="GJ22" s="113"/>
      <c r="GK22" s="113"/>
      <c r="GL22" s="113"/>
      <c r="GM22" s="113"/>
      <c r="GN22" s="113"/>
      <c r="GO22" s="113"/>
      <c r="GP22" s="113"/>
      <c r="GQ22" s="113"/>
      <c r="GR22" s="113"/>
      <c r="GS22" s="113"/>
      <c r="GT22" s="113"/>
      <c r="GU22" s="114"/>
    </row>
    <row r="23" spans="2:203" ht="19.5" customHeight="1" x14ac:dyDescent="0.25">
      <c r="B23" s="129" t="str">
        <f>Donnees!$C$30</f>
        <v>Implémenter l'application dans un raspberry</v>
      </c>
      <c r="C23" s="91">
        <v>0</v>
      </c>
      <c r="D23" s="109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1"/>
      <c r="AR23" s="109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10"/>
      <c r="BW23" s="110"/>
      <c r="BX23" s="110"/>
      <c r="BY23" s="110"/>
      <c r="BZ23" s="110"/>
      <c r="CA23" s="110"/>
      <c r="CB23" s="110"/>
      <c r="CC23" s="110"/>
      <c r="CD23" s="110"/>
      <c r="CE23" s="111"/>
      <c r="CF23" s="109"/>
      <c r="CG23" s="110"/>
      <c r="CH23" s="110"/>
      <c r="CI23" s="110"/>
      <c r="CJ23" s="110"/>
      <c r="CK23" s="110"/>
      <c r="CL23" s="110"/>
      <c r="CM23" s="110"/>
      <c r="CN23" s="110"/>
      <c r="CO23" s="110"/>
      <c r="CP23" s="110"/>
      <c r="CQ23" s="110"/>
      <c r="CR23" s="110"/>
      <c r="CS23" s="110"/>
      <c r="CT23" s="110"/>
      <c r="CU23" s="110"/>
      <c r="CV23" s="110"/>
      <c r="CW23" s="110"/>
      <c r="CX23" s="110"/>
      <c r="CY23" s="110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1"/>
      <c r="DT23" s="109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1"/>
      <c r="FH23" s="109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  <c r="GA23" s="110"/>
      <c r="GB23" s="110"/>
      <c r="GC23" s="110"/>
      <c r="GD23" s="110"/>
      <c r="GE23" s="110"/>
      <c r="GF23" s="110"/>
      <c r="GG23" s="110"/>
      <c r="GH23" s="110"/>
      <c r="GI23" s="110"/>
      <c r="GJ23" s="110"/>
      <c r="GK23" s="110"/>
      <c r="GL23" s="110"/>
      <c r="GM23" s="110"/>
      <c r="GN23" s="110"/>
      <c r="GO23" s="110"/>
      <c r="GP23" s="110"/>
      <c r="GQ23" s="110"/>
      <c r="GR23" s="110"/>
      <c r="GS23" s="110"/>
      <c r="GT23" s="110"/>
      <c r="GU23" s="111"/>
    </row>
    <row r="24" spans="2:203" ht="19.5" customHeight="1" thickBot="1" x14ac:dyDescent="0.3">
      <c r="B24" s="130"/>
      <c r="C24" s="92">
        <v>0</v>
      </c>
      <c r="D24" s="112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4"/>
      <c r="AR24" s="112"/>
      <c r="AS24" s="113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13"/>
      <c r="BK24" s="113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13"/>
      <c r="BZ24" s="113"/>
      <c r="CA24" s="113"/>
      <c r="CB24" s="113"/>
      <c r="CC24" s="113"/>
      <c r="CD24" s="113"/>
      <c r="CE24" s="114"/>
      <c r="CF24" s="112"/>
      <c r="CG24" s="113"/>
      <c r="CH24" s="113"/>
      <c r="CI24" s="113"/>
      <c r="CJ24" s="113"/>
      <c r="CK24" s="113"/>
      <c r="CL24" s="113"/>
      <c r="CM24" s="113"/>
      <c r="CN24" s="113"/>
      <c r="CO24" s="113"/>
      <c r="CP24" s="113"/>
      <c r="CQ24" s="113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3"/>
      <c r="DK24" s="113"/>
      <c r="DL24" s="113"/>
      <c r="DM24" s="113"/>
      <c r="DN24" s="113"/>
      <c r="DO24" s="113"/>
      <c r="DP24" s="113"/>
      <c r="DQ24" s="113"/>
      <c r="DR24" s="113"/>
      <c r="DS24" s="114"/>
      <c r="DT24" s="112"/>
      <c r="DU24" s="113"/>
      <c r="DV24" s="113"/>
      <c r="DW24" s="113"/>
      <c r="DX24" s="113"/>
      <c r="DY24" s="113"/>
      <c r="DZ24" s="113"/>
      <c r="EA24" s="113"/>
      <c r="EB24" s="113"/>
      <c r="EC24" s="113"/>
      <c r="ED24" s="113"/>
      <c r="EE24" s="113"/>
      <c r="EF24" s="113"/>
      <c r="EG24" s="113"/>
      <c r="EH24" s="113"/>
      <c r="EI24" s="113"/>
      <c r="EJ24" s="113"/>
      <c r="EK24" s="113"/>
      <c r="EL24" s="113"/>
      <c r="EM24" s="113"/>
      <c r="EN24" s="113"/>
      <c r="EO24" s="113"/>
      <c r="EP24" s="113"/>
      <c r="EQ24" s="113"/>
      <c r="ER24" s="113"/>
      <c r="ES24" s="113"/>
      <c r="ET24" s="113"/>
      <c r="EU24" s="113"/>
      <c r="EV24" s="113"/>
      <c r="EW24" s="113"/>
      <c r="EX24" s="113"/>
      <c r="EY24" s="113"/>
      <c r="EZ24" s="113"/>
      <c r="FA24" s="113"/>
      <c r="FB24" s="113"/>
      <c r="FC24" s="113"/>
      <c r="FD24" s="113"/>
      <c r="FE24" s="113"/>
      <c r="FF24" s="113"/>
      <c r="FG24" s="114"/>
      <c r="FH24" s="112"/>
      <c r="FI24" s="113"/>
      <c r="FJ24" s="113"/>
      <c r="FK24" s="113"/>
      <c r="FL24" s="113"/>
      <c r="FM24" s="113"/>
      <c r="FN24" s="113"/>
      <c r="FO24" s="113"/>
      <c r="FP24" s="113"/>
      <c r="FQ24" s="113"/>
      <c r="FR24" s="113"/>
      <c r="FS24" s="113"/>
      <c r="FT24" s="113"/>
      <c r="FU24" s="113"/>
      <c r="FV24" s="113"/>
      <c r="FW24" s="113"/>
      <c r="FX24" s="113"/>
      <c r="FY24" s="113"/>
      <c r="FZ24" s="113"/>
      <c r="GA24" s="113"/>
      <c r="GB24" s="113"/>
      <c r="GC24" s="113"/>
      <c r="GD24" s="113"/>
      <c r="GE24" s="113"/>
      <c r="GF24" s="113"/>
      <c r="GG24" s="113"/>
      <c r="GH24" s="113"/>
      <c r="GI24" s="113"/>
      <c r="GJ24" s="113"/>
      <c r="GK24" s="113"/>
      <c r="GL24" s="113"/>
      <c r="GM24" s="113"/>
      <c r="GN24" s="113"/>
      <c r="GO24" s="113"/>
      <c r="GP24" s="113"/>
      <c r="GQ24" s="113"/>
      <c r="GR24" s="113"/>
      <c r="GS24" s="113"/>
      <c r="GT24" s="113"/>
      <c r="GU24" s="114"/>
    </row>
    <row r="25" spans="2:203" ht="19.5" customHeight="1" x14ac:dyDescent="0.25">
      <c r="B25" s="129" t="str">
        <f>Donnees!$C$31</f>
        <v>Partager le raspberry</v>
      </c>
      <c r="C25" s="91">
        <v>0</v>
      </c>
      <c r="D25" s="109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1"/>
      <c r="AR25" s="109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10"/>
      <c r="BW25" s="110"/>
      <c r="BX25" s="110"/>
      <c r="BY25" s="110"/>
      <c r="BZ25" s="110"/>
      <c r="CA25" s="110"/>
      <c r="CB25" s="110"/>
      <c r="CC25" s="110"/>
      <c r="CD25" s="110"/>
      <c r="CE25" s="111"/>
      <c r="CF25" s="109"/>
      <c r="CG25" s="110"/>
      <c r="CH25" s="110"/>
      <c r="CI25" s="110"/>
      <c r="CJ25" s="110"/>
      <c r="CK25" s="110"/>
      <c r="CL25" s="110"/>
      <c r="CM25" s="110"/>
      <c r="CN25" s="110"/>
      <c r="CO25" s="110"/>
      <c r="CP25" s="110"/>
      <c r="CQ25" s="110"/>
      <c r="CR25" s="110"/>
      <c r="CS25" s="110"/>
      <c r="CT25" s="110"/>
      <c r="CU25" s="110"/>
      <c r="CV25" s="110"/>
      <c r="CW25" s="110"/>
      <c r="CX25" s="110"/>
      <c r="CY25" s="11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1"/>
      <c r="DT25" s="109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1"/>
      <c r="FH25" s="109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  <c r="GA25" s="110"/>
      <c r="GB25" s="110"/>
      <c r="GC25" s="110"/>
      <c r="GD25" s="110"/>
      <c r="GE25" s="110"/>
      <c r="GF25" s="110"/>
      <c r="GG25" s="110"/>
      <c r="GH25" s="110"/>
      <c r="GI25" s="110"/>
      <c r="GJ25" s="110"/>
      <c r="GK25" s="110"/>
      <c r="GL25" s="110"/>
      <c r="GM25" s="110"/>
      <c r="GN25" s="110"/>
      <c r="GO25" s="110"/>
      <c r="GP25" s="110"/>
      <c r="GQ25" s="110"/>
      <c r="GR25" s="110"/>
      <c r="GS25" s="110"/>
      <c r="GT25" s="110"/>
      <c r="GU25" s="111"/>
    </row>
    <row r="26" spans="2:203" ht="19.5" customHeight="1" thickBot="1" x14ac:dyDescent="0.3">
      <c r="B26" s="130"/>
      <c r="C26" s="92">
        <v>0</v>
      </c>
      <c r="D26" s="112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4"/>
      <c r="AR26" s="112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4"/>
      <c r="CF26" s="112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3"/>
      <c r="DK26" s="113"/>
      <c r="DL26" s="113"/>
      <c r="DM26" s="113"/>
      <c r="DN26" s="113"/>
      <c r="DO26" s="113"/>
      <c r="DP26" s="113"/>
      <c r="DQ26" s="113"/>
      <c r="DR26" s="113"/>
      <c r="DS26" s="114"/>
      <c r="DT26" s="112"/>
      <c r="DU26" s="113"/>
      <c r="DV26" s="113"/>
      <c r="DW26" s="113"/>
      <c r="DX26" s="113"/>
      <c r="DY26" s="113"/>
      <c r="DZ26" s="113"/>
      <c r="EA26" s="113"/>
      <c r="EB26" s="113"/>
      <c r="EC26" s="113"/>
      <c r="ED26" s="113"/>
      <c r="EE26" s="113"/>
      <c r="EF26" s="113"/>
      <c r="EG26" s="113"/>
      <c r="EH26" s="113"/>
      <c r="EI26" s="113"/>
      <c r="EJ26" s="113"/>
      <c r="EK26" s="113"/>
      <c r="EL26" s="113"/>
      <c r="EM26" s="113"/>
      <c r="EN26" s="113"/>
      <c r="EO26" s="113"/>
      <c r="EP26" s="113"/>
      <c r="EQ26" s="113"/>
      <c r="ER26" s="113"/>
      <c r="ES26" s="113"/>
      <c r="ET26" s="113"/>
      <c r="EU26" s="113"/>
      <c r="EV26" s="113"/>
      <c r="EW26" s="113"/>
      <c r="EX26" s="113"/>
      <c r="EY26" s="113"/>
      <c r="EZ26" s="113"/>
      <c r="FA26" s="113"/>
      <c r="FB26" s="113"/>
      <c r="FC26" s="113"/>
      <c r="FD26" s="113"/>
      <c r="FE26" s="113"/>
      <c r="FF26" s="113"/>
      <c r="FG26" s="114"/>
      <c r="FH26" s="112"/>
      <c r="FI26" s="113"/>
      <c r="FJ26" s="113"/>
      <c r="FK26" s="113"/>
      <c r="FL26" s="113"/>
      <c r="FM26" s="113"/>
      <c r="FN26" s="113"/>
      <c r="FO26" s="113"/>
      <c r="FP26" s="113"/>
      <c r="FQ26" s="113"/>
      <c r="FR26" s="113"/>
      <c r="FS26" s="113"/>
      <c r="FT26" s="113"/>
      <c r="FU26" s="113"/>
      <c r="FV26" s="113"/>
      <c r="FW26" s="113"/>
      <c r="FX26" s="113"/>
      <c r="FY26" s="113"/>
      <c r="FZ26" s="113"/>
      <c r="GA26" s="113"/>
      <c r="GB26" s="113"/>
      <c r="GC26" s="113"/>
      <c r="GD26" s="113"/>
      <c r="GE26" s="113"/>
      <c r="GF26" s="113"/>
      <c r="GG26" s="113"/>
      <c r="GH26" s="113"/>
      <c r="GI26" s="113"/>
      <c r="GJ26" s="113"/>
      <c r="GK26" s="113"/>
      <c r="GL26" s="113"/>
      <c r="GM26" s="113"/>
      <c r="GN26" s="113"/>
      <c r="GO26" s="113"/>
      <c r="GP26" s="113"/>
      <c r="GQ26" s="113"/>
      <c r="GR26" s="113"/>
      <c r="GS26" s="113"/>
      <c r="GT26" s="113"/>
      <c r="GU26" s="114"/>
    </row>
    <row r="27" spans="2:203" ht="19.5" customHeight="1" x14ac:dyDescent="0.25">
      <c r="B27" s="129" t="str">
        <f>Donnees!$C$32</f>
        <v>Théorie</v>
      </c>
      <c r="C27" s="91">
        <v>36</v>
      </c>
      <c r="D27" s="109"/>
      <c r="E27" s="110"/>
      <c r="F27" s="110"/>
      <c r="G27" s="110"/>
      <c r="H27" s="110"/>
      <c r="I27" s="110"/>
      <c r="J27" s="110"/>
      <c r="K27" s="110"/>
      <c r="L27" s="119"/>
      <c r="M27" s="119"/>
      <c r="N27" s="119"/>
      <c r="O27" s="119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9"/>
      <c r="AD27" s="119"/>
      <c r="AE27" s="119"/>
      <c r="AF27" s="119"/>
      <c r="AG27" s="119"/>
      <c r="AH27" s="119"/>
      <c r="AI27" s="119"/>
      <c r="AJ27" s="119"/>
      <c r="AK27" s="110"/>
      <c r="AL27" s="110"/>
      <c r="AM27" s="110"/>
      <c r="AN27" s="110"/>
      <c r="AO27" s="110"/>
      <c r="AP27" s="110"/>
      <c r="AQ27" s="111"/>
      <c r="AR27" s="109"/>
      <c r="AS27" s="110"/>
      <c r="AT27" s="110"/>
      <c r="AU27" s="110"/>
      <c r="AV27" s="110"/>
      <c r="AW27" s="110"/>
      <c r="AX27" s="110"/>
      <c r="AY27" s="110"/>
      <c r="AZ27" s="119"/>
      <c r="BA27" s="119"/>
      <c r="BB27" s="119"/>
      <c r="BC27" s="119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9"/>
      <c r="BR27" s="119"/>
      <c r="BS27" s="119"/>
      <c r="BT27" s="119"/>
      <c r="BU27" s="119"/>
      <c r="BV27" s="119"/>
      <c r="BW27" s="119"/>
      <c r="BX27" s="119"/>
      <c r="BY27" s="110"/>
      <c r="BZ27" s="110"/>
      <c r="CA27" s="110"/>
      <c r="CB27" s="110"/>
      <c r="CC27" s="110"/>
      <c r="CD27" s="110"/>
      <c r="CE27" s="111"/>
      <c r="CF27" s="109"/>
      <c r="CG27" s="110"/>
      <c r="CH27" s="110"/>
      <c r="CI27" s="110"/>
      <c r="CJ27" s="110"/>
      <c r="CK27" s="110"/>
      <c r="CL27" s="110"/>
      <c r="CM27" s="110"/>
      <c r="CN27" s="119"/>
      <c r="CO27" s="119"/>
      <c r="CP27" s="119"/>
      <c r="CQ27" s="119"/>
      <c r="CR27" s="110"/>
      <c r="CS27" s="110"/>
      <c r="CT27" s="110"/>
      <c r="CU27" s="110"/>
      <c r="CV27" s="110"/>
      <c r="CW27" s="110"/>
      <c r="CX27" s="110"/>
      <c r="CY27" s="110"/>
      <c r="CZ27" s="110"/>
      <c r="DA27" s="110"/>
      <c r="DB27" s="110"/>
      <c r="DC27" s="110"/>
      <c r="DD27" s="110"/>
      <c r="DE27" s="119"/>
      <c r="DF27" s="119"/>
      <c r="DG27" s="119"/>
      <c r="DH27" s="119"/>
      <c r="DI27" s="119"/>
      <c r="DJ27" s="119"/>
      <c r="DK27" s="119"/>
      <c r="DL27" s="119"/>
      <c r="DM27" s="110"/>
      <c r="DN27" s="110"/>
      <c r="DO27" s="110"/>
      <c r="DP27" s="110"/>
      <c r="DQ27" s="110"/>
      <c r="DR27" s="110"/>
      <c r="DS27" s="111"/>
      <c r="DT27" s="109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1"/>
      <c r="FH27" s="109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  <c r="GA27" s="110"/>
      <c r="GB27" s="110"/>
      <c r="GC27" s="110"/>
      <c r="GD27" s="110"/>
      <c r="GE27" s="110"/>
      <c r="GF27" s="110"/>
      <c r="GG27" s="110"/>
      <c r="GH27" s="110"/>
      <c r="GI27" s="110"/>
      <c r="GJ27" s="110"/>
      <c r="GK27" s="110"/>
      <c r="GL27" s="110"/>
      <c r="GM27" s="110"/>
      <c r="GN27" s="110"/>
      <c r="GO27" s="110"/>
      <c r="GP27" s="110"/>
      <c r="GQ27" s="110"/>
      <c r="GR27" s="110"/>
      <c r="GS27" s="110"/>
      <c r="GT27" s="110"/>
      <c r="GU27" s="111"/>
    </row>
    <row r="28" spans="2:203" ht="19.5" customHeight="1" thickBot="1" x14ac:dyDescent="0.3">
      <c r="B28" s="130"/>
      <c r="C28" s="92">
        <v>16</v>
      </c>
      <c r="D28" s="112"/>
      <c r="E28" s="113"/>
      <c r="F28" s="113"/>
      <c r="G28" s="113"/>
      <c r="H28" s="113"/>
      <c r="I28" s="113"/>
      <c r="J28" s="113"/>
      <c r="K28" s="113"/>
      <c r="L28" s="122"/>
      <c r="M28" s="122"/>
      <c r="N28" s="122"/>
      <c r="O28" s="122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22"/>
      <c r="AD28" s="122"/>
      <c r="AE28" s="122"/>
      <c r="AF28" s="122"/>
      <c r="AG28" s="122"/>
      <c r="AH28" s="122"/>
      <c r="AI28" s="122"/>
      <c r="AJ28" s="122"/>
      <c r="AK28" s="113"/>
      <c r="AL28" s="113"/>
      <c r="AM28" s="113"/>
      <c r="AN28" s="113"/>
      <c r="AO28" s="113"/>
      <c r="AP28" s="113"/>
      <c r="AQ28" s="114"/>
      <c r="AR28" s="112"/>
      <c r="AS28" s="113"/>
      <c r="AT28" s="113"/>
      <c r="AU28" s="113"/>
      <c r="AV28" s="113"/>
      <c r="AW28" s="113"/>
      <c r="AX28" s="113"/>
      <c r="AY28" s="113"/>
      <c r="AZ28" s="122"/>
      <c r="BA28" s="122"/>
      <c r="BB28" s="122"/>
      <c r="BC28" s="122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4"/>
      <c r="CF28" s="112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3"/>
      <c r="DK28" s="113"/>
      <c r="DL28" s="113"/>
      <c r="DM28" s="113"/>
      <c r="DN28" s="113"/>
      <c r="DO28" s="113"/>
      <c r="DP28" s="113"/>
      <c r="DQ28" s="113"/>
      <c r="DR28" s="113"/>
      <c r="DS28" s="114"/>
      <c r="DT28" s="112"/>
      <c r="DU28" s="113"/>
      <c r="DV28" s="113"/>
      <c r="DW28" s="113"/>
      <c r="DX28" s="113"/>
      <c r="DY28" s="113"/>
      <c r="DZ28" s="113"/>
      <c r="EA28" s="113"/>
      <c r="EB28" s="113"/>
      <c r="EC28" s="113"/>
      <c r="ED28" s="113"/>
      <c r="EE28" s="113"/>
      <c r="EF28" s="113"/>
      <c r="EG28" s="113"/>
      <c r="EH28" s="113"/>
      <c r="EI28" s="113"/>
      <c r="EJ28" s="113"/>
      <c r="EK28" s="113"/>
      <c r="EL28" s="113"/>
      <c r="EM28" s="113"/>
      <c r="EN28" s="113"/>
      <c r="EO28" s="113"/>
      <c r="EP28" s="113"/>
      <c r="EQ28" s="113"/>
      <c r="ER28" s="113"/>
      <c r="ES28" s="113"/>
      <c r="ET28" s="113"/>
      <c r="EU28" s="113"/>
      <c r="EV28" s="113"/>
      <c r="EW28" s="113"/>
      <c r="EX28" s="113"/>
      <c r="EY28" s="113"/>
      <c r="EZ28" s="113"/>
      <c r="FA28" s="113"/>
      <c r="FB28" s="113"/>
      <c r="FC28" s="113"/>
      <c r="FD28" s="113"/>
      <c r="FE28" s="113"/>
      <c r="FF28" s="113"/>
      <c r="FG28" s="114"/>
      <c r="FH28" s="112"/>
      <c r="FI28" s="113"/>
      <c r="FJ28" s="113"/>
      <c r="FK28" s="113"/>
      <c r="FL28" s="113"/>
      <c r="FM28" s="113"/>
      <c r="FN28" s="113"/>
      <c r="FO28" s="113"/>
      <c r="FP28" s="113"/>
      <c r="FQ28" s="113"/>
      <c r="FR28" s="113"/>
      <c r="FS28" s="113"/>
      <c r="FT28" s="113"/>
      <c r="FU28" s="113"/>
      <c r="FV28" s="113"/>
      <c r="FW28" s="113"/>
      <c r="FX28" s="113"/>
      <c r="FY28" s="113"/>
      <c r="FZ28" s="113"/>
      <c r="GA28" s="113"/>
      <c r="GB28" s="113"/>
      <c r="GC28" s="113"/>
      <c r="GD28" s="113"/>
      <c r="GE28" s="113"/>
      <c r="GF28" s="113"/>
      <c r="GG28" s="113"/>
      <c r="GH28" s="113"/>
      <c r="GI28" s="113"/>
      <c r="GJ28" s="113"/>
      <c r="GK28" s="113"/>
      <c r="GL28" s="113"/>
      <c r="GM28" s="113"/>
      <c r="GN28" s="113"/>
      <c r="GO28" s="113"/>
      <c r="GP28" s="113"/>
      <c r="GQ28" s="113"/>
      <c r="GR28" s="113"/>
      <c r="GS28" s="113"/>
      <c r="GT28" s="113"/>
      <c r="GU28" s="114"/>
    </row>
    <row r="29" spans="2:203" ht="19.5" customHeight="1" x14ac:dyDescent="0.25">
      <c r="B29" s="129" t="str">
        <f>Donnees!$C$33</f>
        <v>Thymio</v>
      </c>
      <c r="C29" s="91">
        <v>11</v>
      </c>
      <c r="D29" s="109"/>
      <c r="E29" s="110"/>
      <c r="F29" s="110"/>
      <c r="G29" s="110"/>
      <c r="H29" s="119"/>
      <c r="I29" s="119"/>
      <c r="J29" s="119"/>
      <c r="K29" s="119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1"/>
      <c r="AR29" s="109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10"/>
      <c r="BW29" s="110"/>
      <c r="BX29" s="110"/>
      <c r="BY29" s="119"/>
      <c r="BZ29" s="119"/>
      <c r="CA29" s="119"/>
      <c r="CB29" s="119"/>
      <c r="CC29" s="119"/>
      <c r="CD29" s="119"/>
      <c r="CE29" s="120"/>
      <c r="CF29" s="109"/>
      <c r="CG29" s="110"/>
      <c r="CH29" s="110"/>
      <c r="CI29" s="110"/>
      <c r="CJ29" s="110"/>
      <c r="CK29" s="110"/>
      <c r="CL29" s="110"/>
      <c r="CM29" s="110"/>
      <c r="CN29" s="110"/>
      <c r="CO29" s="110"/>
      <c r="CP29" s="110"/>
      <c r="CQ29" s="110"/>
      <c r="CR29" s="110"/>
      <c r="CS29" s="110"/>
      <c r="CT29" s="110"/>
      <c r="CU29" s="110"/>
      <c r="CV29" s="110"/>
      <c r="CW29" s="110"/>
      <c r="CX29" s="110"/>
      <c r="CY29" s="110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1"/>
      <c r="DT29" s="109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1"/>
      <c r="FH29" s="109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  <c r="GA29" s="110"/>
      <c r="GB29" s="110"/>
      <c r="GC29" s="110"/>
      <c r="GD29" s="110"/>
      <c r="GE29" s="110"/>
      <c r="GF29" s="110"/>
      <c r="GG29" s="110"/>
      <c r="GH29" s="110"/>
      <c r="GI29" s="110"/>
      <c r="GJ29" s="110"/>
      <c r="GK29" s="110"/>
      <c r="GL29" s="110"/>
      <c r="GM29" s="110"/>
      <c r="GN29" s="110"/>
      <c r="GO29" s="110"/>
      <c r="GP29" s="110"/>
      <c r="GQ29" s="110"/>
      <c r="GR29" s="110"/>
      <c r="GS29" s="110"/>
      <c r="GT29" s="110"/>
      <c r="GU29" s="111"/>
    </row>
    <row r="30" spans="2:203" ht="19.5" customHeight="1" thickBot="1" x14ac:dyDescent="0.3">
      <c r="B30" s="130"/>
      <c r="C30" s="92">
        <v>4</v>
      </c>
      <c r="D30" s="112"/>
      <c r="E30" s="113"/>
      <c r="F30" s="113"/>
      <c r="G30" s="113"/>
      <c r="H30" s="122"/>
      <c r="I30" s="122"/>
      <c r="J30" s="122"/>
      <c r="K30" s="122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4"/>
      <c r="AR30" s="112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4"/>
      <c r="CF30" s="112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3"/>
      <c r="DK30" s="113"/>
      <c r="DL30" s="113"/>
      <c r="DM30" s="113"/>
      <c r="DN30" s="113"/>
      <c r="DO30" s="113"/>
      <c r="DP30" s="113"/>
      <c r="DQ30" s="113"/>
      <c r="DR30" s="113"/>
      <c r="DS30" s="114"/>
      <c r="DT30" s="112"/>
      <c r="DU30" s="113"/>
      <c r="DV30" s="113"/>
      <c r="DW30" s="113"/>
      <c r="DX30" s="113"/>
      <c r="DY30" s="113"/>
      <c r="DZ30" s="113"/>
      <c r="EA30" s="113"/>
      <c r="EB30" s="113"/>
      <c r="EC30" s="113"/>
      <c r="ED30" s="113"/>
      <c r="EE30" s="113"/>
      <c r="EF30" s="113"/>
      <c r="EG30" s="113"/>
      <c r="EH30" s="113"/>
      <c r="EI30" s="113"/>
      <c r="EJ30" s="113"/>
      <c r="EK30" s="113"/>
      <c r="EL30" s="113"/>
      <c r="EM30" s="113"/>
      <c r="EN30" s="113"/>
      <c r="EO30" s="113"/>
      <c r="EP30" s="113"/>
      <c r="EQ30" s="113"/>
      <c r="ER30" s="113"/>
      <c r="ES30" s="113"/>
      <c r="ET30" s="113"/>
      <c r="EU30" s="113"/>
      <c r="EV30" s="113"/>
      <c r="EW30" s="113"/>
      <c r="EX30" s="113"/>
      <c r="EY30" s="113"/>
      <c r="EZ30" s="113"/>
      <c r="FA30" s="113"/>
      <c r="FB30" s="113"/>
      <c r="FC30" s="113"/>
      <c r="FD30" s="113"/>
      <c r="FE30" s="113"/>
      <c r="FF30" s="113"/>
      <c r="FG30" s="114"/>
      <c r="FH30" s="112"/>
      <c r="FI30" s="113"/>
      <c r="FJ30" s="113"/>
      <c r="FK30" s="113"/>
      <c r="FL30" s="113"/>
      <c r="FM30" s="113"/>
      <c r="FN30" s="113"/>
      <c r="FO30" s="113"/>
      <c r="FP30" s="113"/>
      <c r="FQ30" s="113"/>
      <c r="FR30" s="113"/>
      <c r="FS30" s="113"/>
      <c r="FT30" s="113"/>
      <c r="FU30" s="113"/>
      <c r="FV30" s="113"/>
      <c r="FW30" s="113"/>
      <c r="FX30" s="113"/>
      <c r="FY30" s="113"/>
      <c r="FZ30" s="113"/>
      <c r="GA30" s="113"/>
      <c r="GB30" s="113"/>
      <c r="GC30" s="113"/>
      <c r="GD30" s="113"/>
      <c r="GE30" s="113"/>
      <c r="GF30" s="113"/>
      <c r="GG30" s="113"/>
      <c r="GH30" s="113"/>
      <c r="GI30" s="113"/>
      <c r="GJ30" s="113"/>
      <c r="GK30" s="113"/>
      <c r="GL30" s="113"/>
      <c r="GM30" s="113"/>
      <c r="GN30" s="113"/>
      <c r="GO30" s="113"/>
      <c r="GP30" s="113"/>
      <c r="GQ30" s="113"/>
      <c r="GR30" s="113"/>
      <c r="GS30" s="113"/>
      <c r="GT30" s="113"/>
      <c r="GU30" s="114"/>
    </row>
    <row r="31" spans="2:203" ht="19.5" customHeight="1" x14ac:dyDescent="0.25">
      <c r="B31" s="129" t="str">
        <f>Donnees!$C$34</f>
        <v>Fin du DemoMot</v>
      </c>
      <c r="C31" s="91">
        <v>9</v>
      </c>
      <c r="D31" s="109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1"/>
      <c r="AR31" s="109"/>
      <c r="AS31" s="110"/>
      <c r="AT31" s="110"/>
      <c r="AU31" s="110"/>
      <c r="AV31" s="110"/>
      <c r="AW31" s="110"/>
      <c r="AX31" s="110"/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110"/>
      <c r="BY31" s="110"/>
      <c r="BZ31" s="110"/>
      <c r="CA31" s="110"/>
      <c r="CB31" s="110"/>
      <c r="CC31" s="110"/>
      <c r="CD31" s="110"/>
      <c r="CE31" s="111"/>
      <c r="CF31" s="109"/>
      <c r="CG31" s="110"/>
      <c r="CH31" s="110"/>
      <c r="CI31" s="110"/>
      <c r="CJ31" s="110"/>
      <c r="CK31" s="110"/>
      <c r="CL31" s="110"/>
      <c r="CM31" s="110"/>
      <c r="CN31" s="110"/>
      <c r="CO31" s="110"/>
      <c r="CP31" s="110"/>
      <c r="CQ31" s="110"/>
      <c r="CR31" s="110"/>
      <c r="CS31" s="110"/>
      <c r="CT31" s="110"/>
      <c r="CU31" s="110"/>
      <c r="CV31" s="110"/>
      <c r="CW31" s="110"/>
      <c r="CX31" s="110"/>
      <c r="CY31" s="110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1"/>
      <c r="DT31" s="109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1"/>
      <c r="FH31" s="109"/>
      <c r="FI31" s="110"/>
      <c r="FJ31" s="110"/>
      <c r="FK31" s="110"/>
      <c r="FL31" s="110"/>
      <c r="FM31" s="110"/>
      <c r="FN31" s="110"/>
      <c r="FO31" s="119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  <c r="GA31" s="110"/>
      <c r="GB31" s="110"/>
      <c r="GC31" s="110"/>
      <c r="GD31" s="110"/>
      <c r="GE31" s="110"/>
      <c r="GF31" s="110"/>
      <c r="GG31" s="110"/>
      <c r="GH31" s="110"/>
      <c r="GI31" s="110"/>
      <c r="GJ31" s="110"/>
      <c r="GK31" s="110"/>
      <c r="GL31" s="110"/>
      <c r="GM31" s="110"/>
      <c r="GN31" s="119"/>
      <c r="GO31" s="119"/>
      <c r="GP31" s="119"/>
      <c r="GQ31" s="119"/>
      <c r="GR31" s="119"/>
      <c r="GS31" s="119"/>
      <c r="GT31" s="119"/>
      <c r="GU31" s="120"/>
    </row>
    <row r="32" spans="2:203" ht="19.5" customHeight="1" thickBot="1" x14ac:dyDescent="0.3">
      <c r="B32" s="130"/>
      <c r="C32" s="92">
        <v>0</v>
      </c>
      <c r="D32" s="112"/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4"/>
      <c r="AR32" s="112"/>
      <c r="AS32" s="113"/>
      <c r="AT32" s="113"/>
      <c r="AU32" s="113"/>
      <c r="AV32" s="113"/>
      <c r="AW32" s="113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13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13"/>
      <c r="BZ32" s="113"/>
      <c r="CA32" s="113"/>
      <c r="CB32" s="113"/>
      <c r="CC32" s="113"/>
      <c r="CD32" s="113"/>
      <c r="CE32" s="114"/>
      <c r="CF32" s="112"/>
      <c r="CG32" s="113"/>
      <c r="CH32" s="113"/>
      <c r="CI32" s="113"/>
      <c r="CJ32" s="113"/>
      <c r="CK32" s="113"/>
      <c r="CL32" s="113"/>
      <c r="CM32" s="113"/>
      <c r="CN32" s="113"/>
      <c r="CO32" s="113"/>
      <c r="CP32" s="113"/>
      <c r="CQ32" s="113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3"/>
      <c r="DK32" s="113"/>
      <c r="DL32" s="113"/>
      <c r="DM32" s="113"/>
      <c r="DN32" s="113"/>
      <c r="DO32" s="113"/>
      <c r="DP32" s="113"/>
      <c r="DQ32" s="113"/>
      <c r="DR32" s="113"/>
      <c r="DS32" s="114"/>
      <c r="DT32" s="112"/>
      <c r="DU32" s="113"/>
      <c r="DV32" s="113"/>
      <c r="DW32" s="113"/>
      <c r="DX32" s="113"/>
      <c r="DY32" s="113"/>
      <c r="DZ32" s="113"/>
      <c r="EA32" s="113"/>
      <c r="EB32" s="113"/>
      <c r="EC32" s="113"/>
      <c r="ED32" s="113"/>
      <c r="EE32" s="113"/>
      <c r="EF32" s="113"/>
      <c r="EG32" s="113"/>
      <c r="EH32" s="113"/>
      <c r="EI32" s="113"/>
      <c r="EJ32" s="113"/>
      <c r="EK32" s="113"/>
      <c r="EL32" s="113"/>
      <c r="EM32" s="113"/>
      <c r="EN32" s="113"/>
      <c r="EO32" s="113"/>
      <c r="EP32" s="113"/>
      <c r="EQ32" s="113"/>
      <c r="ER32" s="113"/>
      <c r="ES32" s="113"/>
      <c r="ET32" s="113"/>
      <c r="EU32" s="113"/>
      <c r="EV32" s="113"/>
      <c r="EW32" s="113"/>
      <c r="EX32" s="113"/>
      <c r="EY32" s="113"/>
      <c r="EZ32" s="113"/>
      <c r="FA32" s="113"/>
      <c r="FB32" s="113"/>
      <c r="FC32" s="113"/>
      <c r="FD32" s="113"/>
      <c r="FE32" s="113"/>
      <c r="FF32" s="113"/>
      <c r="FG32" s="114"/>
      <c r="FH32" s="112"/>
      <c r="FI32" s="113"/>
      <c r="FJ32" s="113"/>
      <c r="FK32" s="113"/>
      <c r="FL32" s="113"/>
      <c r="FM32" s="113"/>
      <c r="FN32" s="113"/>
      <c r="FO32" s="113"/>
      <c r="FP32" s="113"/>
      <c r="FQ32" s="113"/>
      <c r="FR32" s="113"/>
      <c r="FS32" s="113"/>
      <c r="FT32" s="113"/>
      <c r="FU32" s="113"/>
      <c r="FV32" s="113"/>
      <c r="FW32" s="113"/>
      <c r="FX32" s="113"/>
      <c r="FY32" s="113"/>
      <c r="FZ32" s="113"/>
      <c r="GA32" s="113"/>
      <c r="GB32" s="113"/>
      <c r="GC32" s="113"/>
      <c r="GD32" s="113"/>
      <c r="GE32" s="113"/>
      <c r="GF32" s="113"/>
      <c r="GG32" s="113"/>
      <c r="GH32" s="113"/>
      <c r="GI32" s="113"/>
      <c r="GJ32" s="113"/>
      <c r="GK32" s="113"/>
      <c r="GL32" s="113"/>
      <c r="GM32" s="113"/>
      <c r="GN32" s="113"/>
      <c r="GO32" s="113"/>
      <c r="GP32" s="113"/>
      <c r="GQ32" s="113"/>
      <c r="GR32" s="113"/>
      <c r="GS32" s="113"/>
      <c r="GT32" s="113"/>
      <c r="GU32" s="114"/>
    </row>
    <row r="33" spans="2:203" ht="19.5" customHeight="1" x14ac:dyDescent="0.25">
      <c r="B33" s="129" t="str">
        <f>Donnees!$C$35</f>
        <v>Présentation</v>
      </c>
      <c r="C33" s="91">
        <v>24</v>
      </c>
      <c r="D33" s="109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1"/>
      <c r="AR33" s="109"/>
      <c r="AS33" s="110"/>
      <c r="AT33" s="110"/>
      <c r="AU33" s="110"/>
      <c r="AV33" s="110"/>
      <c r="AW33" s="110"/>
      <c r="AX33" s="11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10"/>
      <c r="BW33" s="110"/>
      <c r="BX33" s="110"/>
      <c r="BY33" s="110"/>
      <c r="BZ33" s="110"/>
      <c r="CA33" s="110"/>
      <c r="CB33" s="110"/>
      <c r="CC33" s="110"/>
      <c r="CD33" s="110"/>
      <c r="CE33" s="111"/>
      <c r="CF33" s="109"/>
      <c r="CG33" s="110"/>
      <c r="CH33" s="110"/>
      <c r="CI33" s="110"/>
      <c r="CJ33" s="110"/>
      <c r="CK33" s="110"/>
      <c r="CL33" s="110"/>
      <c r="CM33" s="110"/>
      <c r="CN33" s="110"/>
      <c r="CO33" s="110"/>
      <c r="CP33" s="110"/>
      <c r="CQ33" s="110"/>
      <c r="CR33" s="110"/>
      <c r="CS33" s="110"/>
      <c r="CT33" s="110"/>
      <c r="CU33" s="110"/>
      <c r="CV33" s="110"/>
      <c r="CW33" s="110"/>
      <c r="CX33" s="110"/>
      <c r="CY33" s="110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1"/>
      <c r="DT33" s="109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1"/>
      <c r="FH33" s="109"/>
      <c r="FI33" s="110"/>
      <c r="FJ33" s="110"/>
      <c r="FK33" s="110"/>
      <c r="FL33" s="110"/>
      <c r="FM33" s="110"/>
      <c r="FN33" s="110"/>
      <c r="FO33" s="110"/>
      <c r="FP33" s="119"/>
      <c r="FQ33" s="119"/>
      <c r="FR33" s="119"/>
      <c r="FS33" s="119"/>
      <c r="FT33" s="119"/>
      <c r="FU33" s="119"/>
      <c r="FV33" s="119"/>
      <c r="FW33" s="119"/>
      <c r="FX33" s="119"/>
      <c r="FY33" s="119"/>
      <c r="FZ33" s="119"/>
      <c r="GA33" s="119"/>
      <c r="GB33" s="119"/>
      <c r="GC33" s="119"/>
      <c r="GD33" s="119"/>
      <c r="GE33" s="119"/>
      <c r="GF33" s="119"/>
      <c r="GG33" s="119"/>
      <c r="GH33" s="119"/>
      <c r="GI33" s="119"/>
      <c r="GJ33" s="119"/>
      <c r="GK33" s="119"/>
      <c r="GL33" s="119"/>
      <c r="GM33" s="119"/>
      <c r="GN33" s="110"/>
      <c r="GO33" s="110"/>
      <c r="GP33" s="110"/>
      <c r="GQ33" s="110"/>
      <c r="GR33" s="110"/>
      <c r="GS33" s="110"/>
      <c r="GT33" s="110"/>
      <c r="GU33" s="111"/>
    </row>
    <row r="34" spans="2:203" ht="19.5" customHeight="1" thickBot="1" x14ac:dyDescent="0.3">
      <c r="B34" s="130"/>
      <c r="C34" s="92">
        <v>0</v>
      </c>
      <c r="D34" s="112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4"/>
      <c r="AR34" s="112"/>
      <c r="AS34" s="113"/>
      <c r="AT34" s="113"/>
      <c r="AU34" s="113"/>
      <c r="AV34" s="113"/>
      <c r="AW34" s="113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13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13"/>
      <c r="BZ34" s="113"/>
      <c r="CA34" s="113"/>
      <c r="CB34" s="113"/>
      <c r="CC34" s="113"/>
      <c r="CD34" s="113"/>
      <c r="CE34" s="114"/>
      <c r="CF34" s="112"/>
      <c r="CG34" s="113"/>
      <c r="CH34" s="113"/>
      <c r="CI34" s="113"/>
      <c r="CJ34" s="113"/>
      <c r="CK34" s="113"/>
      <c r="CL34" s="113"/>
      <c r="CM34" s="113"/>
      <c r="CN34" s="113"/>
      <c r="CO34" s="113"/>
      <c r="CP34" s="113"/>
      <c r="CQ34" s="113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3"/>
      <c r="DK34" s="113"/>
      <c r="DL34" s="113"/>
      <c r="DM34" s="113"/>
      <c r="DN34" s="113"/>
      <c r="DO34" s="113"/>
      <c r="DP34" s="113"/>
      <c r="DQ34" s="113"/>
      <c r="DR34" s="113"/>
      <c r="DS34" s="114"/>
      <c r="DT34" s="112"/>
      <c r="DU34" s="113"/>
      <c r="DV34" s="113"/>
      <c r="DW34" s="113"/>
      <c r="DX34" s="113"/>
      <c r="DY34" s="113"/>
      <c r="DZ34" s="113"/>
      <c r="EA34" s="113"/>
      <c r="EB34" s="113"/>
      <c r="EC34" s="113"/>
      <c r="ED34" s="113"/>
      <c r="EE34" s="113"/>
      <c r="EF34" s="113"/>
      <c r="EG34" s="113"/>
      <c r="EH34" s="113"/>
      <c r="EI34" s="113"/>
      <c r="EJ34" s="113"/>
      <c r="EK34" s="113"/>
      <c r="EL34" s="113"/>
      <c r="EM34" s="113"/>
      <c r="EN34" s="113"/>
      <c r="EO34" s="113"/>
      <c r="EP34" s="113"/>
      <c r="EQ34" s="113"/>
      <c r="ER34" s="113"/>
      <c r="ES34" s="113"/>
      <c r="ET34" s="113"/>
      <c r="EU34" s="113"/>
      <c r="EV34" s="113"/>
      <c r="EW34" s="113"/>
      <c r="EX34" s="113"/>
      <c r="EY34" s="113"/>
      <c r="EZ34" s="113"/>
      <c r="FA34" s="113"/>
      <c r="FB34" s="113"/>
      <c r="FC34" s="113"/>
      <c r="FD34" s="113"/>
      <c r="FE34" s="113"/>
      <c r="FF34" s="113"/>
      <c r="FG34" s="114"/>
      <c r="FH34" s="112"/>
      <c r="FI34" s="113"/>
      <c r="FJ34" s="113"/>
      <c r="FK34" s="113"/>
      <c r="FL34" s="113"/>
      <c r="FM34" s="113"/>
      <c r="FN34" s="113"/>
      <c r="FO34" s="113"/>
      <c r="FP34" s="113"/>
      <c r="FQ34" s="113"/>
      <c r="FR34" s="113"/>
      <c r="FS34" s="113"/>
      <c r="FT34" s="113"/>
      <c r="FU34" s="113"/>
      <c r="FV34" s="113"/>
      <c r="FW34" s="113"/>
      <c r="FX34" s="113"/>
      <c r="FY34" s="113"/>
      <c r="FZ34" s="113"/>
      <c r="GA34" s="113"/>
      <c r="GB34" s="113"/>
      <c r="GC34" s="113"/>
      <c r="GD34" s="113"/>
      <c r="GE34" s="113"/>
      <c r="GF34" s="113"/>
      <c r="GG34" s="113"/>
      <c r="GH34" s="113"/>
      <c r="GI34" s="113"/>
      <c r="GJ34" s="113"/>
      <c r="GK34" s="113"/>
      <c r="GL34" s="113"/>
      <c r="GM34" s="113"/>
      <c r="GN34" s="113"/>
      <c r="GO34" s="113"/>
      <c r="GP34" s="113"/>
      <c r="GQ34" s="113"/>
      <c r="GR34" s="113"/>
      <c r="GS34" s="113"/>
      <c r="GT34" s="113"/>
      <c r="GU34" s="114"/>
    </row>
    <row r="35" spans="2:203" ht="19.5" customHeight="1" x14ac:dyDescent="0.25">
      <c r="B35" s="129" t="str">
        <f>Donnees!$C$36</f>
        <v>Rapport</v>
      </c>
      <c r="C35" s="91">
        <v>7</v>
      </c>
      <c r="D35" s="109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1"/>
      <c r="AR35" s="109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10"/>
      <c r="BW35" s="110"/>
      <c r="BX35" s="110"/>
      <c r="BY35" s="110"/>
      <c r="BZ35" s="110"/>
      <c r="CA35" s="110"/>
      <c r="CB35" s="110"/>
      <c r="CC35" s="110"/>
      <c r="CD35" s="110"/>
      <c r="CE35" s="111"/>
      <c r="CF35" s="109"/>
      <c r="CG35" s="110"/>
      <c r="CH35" s="110"/>
      <c r="CI35" s="110"/>
      <c r="CJ35" s="110"/>
      <c r="CK35" s="110"/>
      <c r="CL35" s="110"/>
      <c r="CM35" s="110"/>
      <c r="CN35" s="110"/>
      <c r="CO35" s="110"/>
      <c r="CP35" s="110"/>
      <c r="CQ35" s="110"/>
      <c r="CR35" s="110"/>
      <c r="CS35" s="110"/>
      <c r="CT35" s="110"/>
      <c r="CU35" s="110"/>
      <c r="CV35" s="110"/>
      <c r="CW35" s="110"/>
      <c r="CX35" s="110"/>
      <c r="CY35" s="110"/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9"/>
      <c r="DN35" s="119"/>
      <c r="DO35" s="119"/>
      <c r="DP35" s="119"/>
      <c r="DQ35" s="119"/>
      <c r="DR35" s="119"/>
      <c r="DS35" s="120"/>
      <c r="DT35" s="109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1"/>
      <c r="FH35" s="109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  <c r="GA35" s="110"/>
      <c r="GB35" s="110"/>
      <c r="GC35" s="110"/>
      <c r="GD35" s="110"/>
      <c r="GE35" s="110"/>
      <c r="GF35" s="110"/>
      <c r="GG35" s="110"/>
      <c r="GH35" s="110"/>
      <c r="GI35" s="110"/>
      <c r="GJ35" s="110"/>
      <c r="GK35" s="110"/>
      <c r="GL35" s="110"/>
      <c r="GM35" s="110"/>
      <c r="GN35" s="110"/>
      <c r="GO35" s="110"/>
      <c r="GP35" s="110"/>
      <c r="GQ35" s="110"/>
      <c r="GR35" s="110"/>
      <c r="GS35" s="110"/>
      <c r="GT35" s="110"/>
      <c r="GU35" s="111"/>
    </row>
    <row r="36" spans="2:203" ht="19.5" customHeight="1" thickBot="1" x14ac:dyDescent="0.3">
      <c r="B36" s="130"/>
      <c r="C36" s="92">
        <v>0</v>
      </c>
      <c r="D36" s="112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4"/>
      <c r="AR36" s="112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13"/>
      <c r="BZ36" s="113"/>
      <c r="CA36" s="113"/>
      <c r="CB36" s="113"/>
      <c r="CC36" s="113"/>
      <c r="CD36" s="113"/>
      <c r="CE36" s="114"/>
      <c r="CF36" s="112"/>
      <c r="CG36" s="113"/>
      <c r="CH36" s="113"/>
      <c r="CI36" s="113"/>
      <c r="CJ36" s="113"/>
      <c r="CK36" s="113"/>
      <c r="CL36" s="113"/>
      <c r="CM36" s="113"/>
      <c r="CN36" s="113"/>
      <c r="CO36" s="113"/>
      <c r="CP36" s="113"/>
      <c r="CQ36" s="113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3"/>
      <c r="DK36" s="113"/>
      <c r="DL36" s="113"/>
      <c r="DM36" s="113"/>
      <c r="DN36" s="113"/>
      <c r="DO36" s="113"/>
      <c r="DP36" s="113"/>
      <c r="DQ36" s="113"/>
      <c r="DR36" s="113"/>
      <c r="DS36" s="114"/>
      <c r="DT36" s="112"/>
      <c r="DU36" s="113"/>
      <c r="DV36" s="113"/>
      <c r="DW36" s="113"/>
      <c r="DX36" s="113"/>
      <c r="DY36" s="113"/>
      <c r="DZ36" s="113"/>
      <c r="EA36" s="113"/>
      <c r="EB36" s="113"/>
      <c r="EC36" s="113"/>
      <c r="ED36" s="113"/>
      <c r="EE36" s="113"/>
      <c r="EF36" s="113"/>
      <c r="EG36" s="113"/>
      <c r="EH36" s="113"/>
      <c r="EI36" s="113"/>
      <c r="EJ36" s="113"/>
      <c r="EK36" s="113"/>
      <c r="EL36" s="113"/>
      <c r="EM36" s="113"/>
      <c r="EN36" s="113"/>
      <c r="EO36" s="113"/>
      <c r="EP36" s="113"/>
      <c r="EQ36" s="113"/>
      <c r="ER36" s="113"/>
      <c r="ES36" s="113"/>
      <c r="ET36" s="113"/>
      <c r="EU36" s="113"/>
      <c r="EV36" s="113"/>
      <c r="EW36" s="113"/>
      <c r="EX36" s="113"/>
      <c r="EY36" s="113"/>
      <c r="EZ36" s="113"/>
      <c r="FA36" s="113"/>
      <c r="FB36" s="113"/>
      <c r="FC36" s="113"/>
      <c r="FD36" s="113"/>
      <c r="FE36" s="113"/>
      <c r="FF36" s="113"/>
      <c r="FG36" s="114"/>
      <c r="FH36" s="112"/>
      <c r="FI36" s="113"/>
      <c r="FJ36" s="113"/>
      <c r="FK36" s="113"/>
      <c r="FL36" s="113"/>
      <c r="FM36" s="113"/>
      <c r="FN36" s="113"/>
      <c r="FO36" s="113"/>
      <c r="FP36" s="113"/>
      <c r="FQ36" s="113"/>
      <c r="FR36" s="113"/>
      <c r="FS36" s="113"/>
      <c r="FT36" s="113"/>
      <c r="FU36" s="113"/>
      <c r="FV36" s="113"/>
      <c r="FW36" s="113"/>
      <c r="FX36" s="113"/>
      <c r="FY36" s="113"/>
      <c r="FZ36" s="113"/>
      <c r="GA36" s="113"/>
      <c r="GB36" s="113"/>
      <c r="GC36" s="113"/>
      <c r="GD36" s="113"/>
      <c r="GE36" s="113"/>
      <c r="GF36" s="113"/>
      <c r="GG36" s="113"/>
      <c r="GH36" s="113"/>
      <c r="GI36" s="113"/>
      <c r="GJ36" s="113"/>
      <c r="GK36" s="113"/>
      <c r="GL36" s="113"/>
      <c r="GM36" s="113"/>
      <c r="GN36" s="113"/>
      <c r="GO36" s="113"/>
      <c r="GP36" s="113"/>
      <c r="GQ36" s="113"/>
      <c r="GR36" s="113"/>
      <c r="GS36" s="113"/>
      <c r="GT36" s="113"/>
      <c r="GU36" s="114"/>
    </row>
    <row r="37" spans="2:203" ht="19.5" customHeight="1" x14ac:dyDescent="0.25">
      <c r="B37" s="129" t="str">
        <f>Donnees!$C$37</f>
        <v>Rattrapage</v>
      </c>
      <c r="C37" s="91">
        <v>4</v>
      </c>
      <c r="D37" s="109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1"/>
      <c r="AR37" s="109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  <c r="CA37" s="110"/>
      <c r="CB37" s="110"/>
      <c r="CC37" s="110"/>
      <c r="CD37" s="110"/>
      <c r="CE37" s="111"/>
      <c r="CF37" s="118"/>
      <c r="CG37" s="119"/>
      <c r="CH37" s="119"/>
      <c r="CI37" s="119"/>
      <c r="CJ37" s="110"/>
      <c r="CK37" s="110"/>
      <c r="CL37" s="110"/>
      <c r="CM37" s="110"/>
      <c r="CN37" s="110"/>
      <c r="CO37" s="110"/>
      <c r="CP37" s="110"/>
      <c r="CQ37" s="110"/>
      <c r="CR37" s="110"/>
      <c r="CS37" s="110"/>
      <c r="CT37" s="110"/>
      <c r="CU37" s="110"/>
      <c r="CV37" s="110"/>
      <c r="CW37" s="110"/>
      <c r="CX37" s="110"/>
      <c r="CY37" s="110"/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1"/>
      <c r="DT37" s="109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1"/>
      <c r="FH37" s="109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  <c r="GA37" s="110"/>
      <c r="GB37" s="110"/>
      <c r="GC37" s="110"/>
      <c r="GD37" s="110"/>
      <c r="GE37" s="110"/>
      <c r="GF37" s="110"/>
      <c r="GG37" s="110"/>
      <c r="GH37" s="110"/>
      <c r="GI37" s="110"/>
      <c r="GJ37" s="110"/>
      <c r="GK37" s="110"/>
      <c r="GL37" s="110"/>
      <c r="GM37" s="110"/>
      <c r="GN37" s="110"/>
      <c r="GO37" s="110"/>
      <c r="GP37" s="110"/>
      <c r="GQ37" s="110"/>
      <c r="GR37" s="110"/>
      <c r="GS37" s="110"/>
      <c r="GT37" s="110"/>
      <c r="GU37" s="111"/>
    </row>
    <row r="38" spans="2:203" ht="19.5" customHeight="1" thickBot="1" x14ac:dyDescent="0.3">
      <c r="B38" s="130"/>
      <c r="C38" s="92">
        <v>0</v>
      </c>
      <c r="D38" s="112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4"/>
      <c r="AR38" s="112"/>
      <c r="AS38" s="113"/>
      <c r="AT38" s="113"/>
      <c r="AU38" s="113"/>
      <c r="AV38" s="113"/>
      <c r="AW38" s="113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13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13"/>
      <c r="BZ38" s="113"/>
      <c r="CA38" s="113"/>
      <c r="CB38" s="113"/>
      <c r="CC38" s="113"/>
      <c r="CD38" s="113"/>
      <c r="CE38" s="114"/>
      <c r="CF38" s="112"/>
      <c r="CG38" s="113"/>
      <c r="CH38" s="113"/>
      <c r="CI38" s="113"/>
      <c r="CJ38" s="113"/>
      <c r="CK38" s="113"/>
      <c r="CL38" s="113"/>
      <c r="CM38" s="113"/>
      <c r="CN38" s="113"/>
      <c r="CO38" s="113"/>
      <c r="CP38" s="113"/>
      <c r="CQ38" s="113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3"/>
      <c r="DK38" s="113"/>
      <c r="DL38" s="113"/>
      <c r="DM38" s="113"/>
      <c r="DN38" s="113"/>
      <c r="DO38" s="113"/>
      <c r="DP38" s="113"/>
      <c r="DQ38" s="113"/>
      <c r="DR38" s="113"/>
      <c r="DS38" s="114"/>
      <c r="DT38" s="112"/>
      <c r="DU38" s="113"/>
      <c r="DV38" s="113"/>
      <c r="DW38" s="113"/>
      <c r="DX38" s="113"/>
      <c r="DY38" s="113"/>
      <c r="DZ38" s="113"/>
      <c r="EA38" s="113"/>
      <c r="EB38" s="113"/>
      <c r="EC38" s="113"/>
      <c r="ED38" s="113"/>
      <c r="EE38" s="113"/>
      <c r="EF38" s="113"/>
      <c r="EG38" s="113"/>
      <c r="EH38" s="113"/>
      <c r="EI38" s="113"/>
      <c r="EJ38" s="113"/>
      <c r="EK38" s="113"/>
      <c r="EL38" s="113"/>
      <c r="EM38" s="113"/>
      <c r="EN38" s="113"/>
      <c r="EO38" s="113"/>
      <c r="EP38" s="113"/>
      <c r="EQ38" s="113"/>
      <c r="ER38" s="113"/>
      <c r="ES38" s="113"/>
      <c r="ET38" s="113"/>
      <c r="EU38" s="113"/>
      <c r="EV38" s="113"/>
      <c r="EW38" s="113"/>
      <c r="EX38" s="113"/>
      <c r="EY38" s="113"/>
      <c r="EZ38" s="113"/>
      <c r="FA38" s="113"/>
      <c r="FB38" s="113"/>
      <c r="FC38" s="113"/>
      <c r="FD38" s="113"/>
      <c r="FE38" s="113"/>
      <c r="FF38" s="113"/>
      <c r="FG38" s="114"/>
      <c r="FH38" s="112"/>
      <c r="FI38" s="113"/>
      <c r="FJ38" s="113"/>
      <c r="FK38" s="113"/>
      <c r="FL38" s="113"/>
      <c r="FM38" s="113"/>
      <c r="FN38" s="113"/>
      <c r="FO38" s="113"/>
      <c r="FP38" s="113"/>
      <c r="FQ38" s="113"/>
      <c r="FR38" s="113"/>
      <c r="FS38" s="113"/>
      <c r="FT38" s="113"/>
      <c r="FU38" s="113"/>
      <c r="FV38" s="113"/>
      <c r="FW38" s="113"/>
      <c r="FX38" s="113"/>
      <c r="FY38" s="113"/>
      <c r="FZ38" s="113"/>
      <c r="GA38" s="113"/>
      <c r="GB38" s="113"/>
      <c r="GC38" s="113"/>
      <c r="GD38" s="113"/>
      <c r="GE38" s="113"/>
      <c r="GF38" s="113"/>
      <c r="GG38" s="113"/>
      <c r="GH38" s="113"/>
      <c r="GI38" s="113"/>
      <c r="GJ38" s="113"/>
      <c r="GK38" s="113"/>
      <c r="GL38" s="113"/>
      <c r="GM38" s="113"/>
      <c r="GN38" s="113"/>
      <c r="GO38" s="113"/>
      <c r="GP38" s="113"/>
      <c r="GQ38" s="113"/>
      <c r="GR38" s="113"/>
      <c r="GS38" s="113"/>
      <c r="GT38" s="113"/>
      <c r="GU38" s="114"/>
    </row>
    <row r="39" spans="2:203" ht="19.5" customHeight="1" x14ac:dyDescent="0.25">
      <c r="B39" s="129" t="str">
        <f>Donnees!$C$38</f>
        <v>Tests</v>
      </c>
      <c r="C39" s="91">
        <v>11</v>
      </c>
      <c r="D39" s="109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1"/>
      <c r="AR39" s="109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1"/>
      <c r="CF39" s="109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9"/>
      <c r="DB39" s="119"/>
      <c r="DC39" s="119"/>
      <c r="DD39" s="119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1"/>
      <c r="DT39" s="109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1"/>
      <c r="FH39" s="118"/>
      <c r="FI39" s="119"/>
      <c r="FJ39" s="119"/>
      <c r="FK39" s="119"/>
      <c r="FL39" s="119"/>
      <c r="FM39" s="119"/>
      <c r="FN39" s="119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  <c r="GA39" s="110"/>
      <c r="GB39" s="110"/>
      <c r="GC39" s="110"/>
      <c r="GD39" s="110"/>
      <c r="GE39" s="110"/>
      <c r="GF39" s="110"/>
      <c r="GG39" s="110"/>
      <c r="GH39" s="110"/>
      <c r="GI39" s="110"/>
      <c r="GJ39" s="110"/>
      <c r="GK39" s="110"/>
      <c r="GL39" s="110"/>
      <c r="GM39" s="110"/>
      <c r="GN39" s="110"/>
      <c r="GO39" s="110"/>
      <c r="GP39" s="110"/>
      <c r="GQ39" s="110"/>
      <c r="GR39" s="110"/>
      <c r="GS39" s="110"/>
      <c r="GT39" s="110"/>
      <c r="GU39" s="111"/>
    </row>
    <row r="40" spans="2:203" ht="19.5" customHeight="1" x14ac:dyDescent="0.25">
      <c r="B40" s="130"/>
      <c r="C40" s="92">
        <v>0</v>
      </c>
      <c r="D40" s="112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4"/>
      <c r="AR40" s="112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4"/>
      <c r="CF40" s="112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13"/>
      <c r="DN40" s="113"/>
      <c r="DO40" s="113"/>
      <c r="DP40" s="113"/>
      <c r="DQ40" s="113"/>
      <c r="DR40" s="113"/>
      <c r="DS40" s="114"/>
      <c r="DT40" s="112"/>
      <c r="DU40" s="113"/>
      <c r="DV40" s="113"/>
      <c r="DW40" s="113"/>
      <c r="DX40" s="113"/>
      <c r="DY40" s="113"/>
      <c r="DZ40" s="113"/>
      <c r="EA40" s="113"/>
      <c r="EB40" s="113"/>
      <c r="EC40" s="113"/>
      <c r="ED40" s="113"/>
      <c r="EE40" s="113"/>
      <c r="EF40" s="113"/>
      <c r="EG40" s="113"/>
      <c r="EH40" s="113"/>
      <c r="EI40" s="113"/>
      <c r="EJ40" s="113"/>
      <c r="EK40" s="113"/>
      <c r="EL40" s="113"/>
      <c r="EM40" s="113"/>
      <c r="EN40" s="113"/>
      <c r="EO40" s="113"/>
      <c r="EP40" s="113"/>
      <c r="EQ40" s="113"/>
      <c r="ER40" s="113"/>
      <c r="ES40" s="113"/>
      <c r="ET40" s="113"/>
      <c r="EU40" s="113"/>
      <c r="EV40" s="113"/>
      <c r="EW40" s="113"/>
      <c r="EX40" s="113"/>
      <c r="EY40" s="113"/>
      <c r="EZ40" s="113"/>
      <c r="FA40" s="113"/>
      <c r="FB40" s="113"/>
      <c r="FC40" s="113"/>
      <c r="FD40" s="113"/>
      <c r="FE40" s="113"/>
      <c r="FF40" s="113"/>
      <c r="FG40" s="114"/>
      <c r="FH40" s="112"/>
      <c r="FI40" s="113"/>
      <c r="FJ40" s="113"/>
      <c r="FK40" s="113"/>
      <c r="FL40" s="113"/>
      <c r="FM40" s="113"/>
      <c r="FN40" s="113"/>
      <c r="FO40" s="113"/>
      <c r="FP40" s="113"/>
      <c r="FQ40" s="113"/>
      <c r="FR40" s="113"/>
      <c r="FS40" s="113"/>
      <c r="FT40" s="113"/>
      <c r="FU40" s="113"/>
      <c r="FV40" s="113"/>
      <c r="FW40" s="113"/>
      <c r="FX40" s="113"/>
      <c r="FY40" s="113"/>
      <c r="FZ40" s="113"/>
      <c r="GA40" s="113"/>
      <c r="GB40" s="113"/>
      <c r="GC40" s="113"/>
      <c r="GD40" s="113"/>
      <c r="GE40" s="113"/>
      <c r="GF40" s="113"/>
      <c r="GG40" s="113"/>
      <c r="GH40" s="113"/>
      <c r="GI40" s="113"/>
      <c r="GJ40" s="113"/>
      <c r="GK40" s="113"/>
      <c r="GL40" s="113"/>
      <c r="GM40" s="113"/>
      <c r="GN40" s="113"/>
      <c r="GO40" s="113"/>
      <c r="GP40" s="113"/>
      <c r="GQ40" s="113"/>
      <c r="GR40" s="113"/>
      <c r="GS40" s="113"/>
      <c r="GT40" s="113"/>
      <c r="GU40" s="114"/>
    </row>
    <row r="41" spans="2:203" ht="19.5" customHeight="1" x14ac:dyDescent="0.25">
      <c r="B41" s="25" t="s">
        <v>16</v>
      </c>
      <c r="C41" s="27">
        <f>SUM($C$3,$C$5,$C$7,$C$9,$C$11,$C$13,$C$15,$C$17,$C$19,$C$21,$C$23,$C$25,$C$27,$C$29,$C$31,$C$33,$C$35,$C$37,$C$39)</f>
        <v>200</v>
      </c>
      <c r="D41" s="94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95"/>
      <c r="AN41" s="95"/>
      <c r="AO41" s="95"/>
      <c r="AP41" s="95"/>
      <c r="AQ41" s="96"/>
      <c r="AR41" s="94"/>
      <c r="AS41" s="95"/>
      <c r="AT41" s="95"/>
      <c r="AU41" s="95"/>
      <c r="AV41" s="95"/>
      <c r="AW41" s="95"/>
      <c r="AX41" s="95"/>
      <c r="AY41" s="95"/>
      <c r="AZ41" s="95"/>
      <c r="BA41" s="95"/>
      <c r="BB41" s="95"/>
      <c r="BC41" s="95"/>
      <c r="BD41" s="95"/>
      <c r="BE41" s="95"/>
      <c r="BF41" s="95"/>
      <c r="BG41" s="95"/>
      <c r="BH41" s="95"/>
      <c r="BI41" s="95"/>
      <c r="BJ41" s="95"/>
      <c r="BK41" s="95"/>
      <c r="BL41" s="95"/>
      <c r="BM41" s="95"/>
      <c r="BN41" s="95"/>
      <c r="BO41" s="95"/>
      <c r="BP41" s="95"/>
      <c r="BQ41" s="95"/>
      <c r="BR41" s="95"/>
      <c r="BS41" s="95"/>
      <c r="BT41" s="95"/>
      <c r="BU41" s="95"/>
      <c r="BV41" s="95"/>
      <c r="BW41" s="95"/>
      <c r="BX41" s="95"/>
      <c r="BY41" s="95"/>
      <c r="BZ41" s="95"/>
      <c r="CA41" s="95"/>
      <c r="CB41" s="95"/>
      <c r="CC41" s="95"/>
      <c r="CD41" s="95"/>
      <c r="CE41" s="96"/>
      <c r="CF41" s="94"/>
      <c r="CG41" s="95"/>
      <c r="CH41" s="95"/>
      <c r="CI41" s="95"/>
      <c r="CJ41" s="95"/>
      <c r="CK41" s="95"/>
      <c r="CL41" s="95"/>
      <c r="CM41" s="95"/>
      <c r="CN41" s="95"/>
      <c r="CO41" s="95"/>
      <c r="CP41" s="95"/>
      <c r="CQ41" s="95"/>
      <c r="CR41" s="95"/>
      <c r="CS41" s="95"/>
      <c r="CT41" s="95"/>
      <c r="CU41" s="95"/>
      <c r="CV41" s="95"/>
      <c r="CW41" s="95"/>
      <c r="CX41" s="95"/>
      <c r="CY41" s="95"/>
      <c r="CZ41" s="95"/>
      <c r="DA41" s="95"/>
      <c r="DB41" s="95"/>
      <c r="DC41" s="95"/>
      <c r="DD41" s="95"/>
      <c r="DE41" s="95"/>
      <c r="DF41" s="95"/>
      <c r="DG41" s="95"/>
      <c r="DH41" s="95"/>
      <c r="DI41" s="95"/>
      <c r="DJ41" s="95"/>
      <c r="DK41" s="95"/>
      <c r="DL41" s="95"/>
      <c r="DM41" s="95"/>
      <c r="DN41" s="95"/>
      <c r="DO41" s="95"/>
      <c r="DP41" s="95"/>
      <c r="DQ41" s="95"/>
      <c r="DR41" s="95"/>
      <c r="DS41" s="96"/>
      <c r="DT41" s="94"/>
      <c r="DU41" s="95"/>
      <c r="DV41" s="95"/>
      <c r="DW41" s="95"/>
      <c r="DX41" s="95"/>
      <c r="DY41" s="95"/>
      <c r="DZ41" s="95"/>
      <c r="EA41" s="95"/>
      <c r="EB41" s="95"/>
      <c r="EC41" s="95"/>
      <c r="ED41" s="95"/>
      <c r="EE41" s="95"/>
      <c r="EF41" s="95"/>
      <c r="EG41" s="95"/>
      <c r="EH41" s="95"/>
      <c r="EI41" s="95"/>
      <c r="EJ41" s="95"/>
      <c r="EK41" s="95"/>
      <c r="EL41" s="95"/>
      <c r="EM41" s="95"/>
      <c r="EN41" s="95"/>
      <c r="EO41" s="95"/>
      <c r="EP41" s="95"/>
      <c r="EQ41" s="95"/>
      <c r="ER41" s="95"/>
      <c r="ES41" s="95"/>
      <c r="ET41" s="95"/>
      <c r="EU41" s="95"/>
      <c r="EV41" s="95"/>
      <c r="EW41" s="95"/>
      <c r="EX41" s="95"/>
      <c r="EY41" s="95"/>
      <c r="EZ41" s="95"/>
      <c r="FA41" s="95"/>
      <c r="FB41" s="95"/>
      <c r="FC41" s="95"/>
      <c r="FD41" s="95"/>
      <c r="FE41" s="95"/>
      <c r="FF41" s="95"/>
      <c r="FG41" s="96"/>
      <c r="FH41" s="94"/>
      <c r="FI41" s="95"/>
      <c r="FJ41" s="95"/>
      <c r="FK41" s="95"/>
      <c r="FL41" s="95"/>
      <c r="FM41" s="95"/>
      <c r="FN41" s="95"/>
      <c r="FO41" s="95"/>
      <c r="FP41" s="95"/>
      <c r="FQ41" s="95"/>
      <c r="FR41" s="95"/>
      <c r="FS41" s="95"/>
      <c r="FT41" s="95"/>
      <c r="FU41" s="95"/>
      <c r="FV41" s="95"/>
      <c r="FW41" s="95"/>
      <c r="FX41" s="95"/>
      <c r="FY41" s="95"/>
      <c r="FZ41" s="95"/>
      <c r="GA41" s="95"/>
      <c r="GB41" s="95"/>
      <c r="GC41" s="95"/>
      <c r="GD41" s="95"/>
      <c r="GE41" s="95"/>
      <c r="GF41" s="95"/>
      <c r="GG41" s="95"/>
      <c r="GH41" s="95"/>
      <c r="GI41" s="95"/>
      <c r="GJ41" s="95"/>
      <c r="GK41" s="95"/>
      <c r="GL41" s="95"/>
      <c r="GM41" s="95"/>
      <c r="GN41" s="95"/>
      <c r="GO41" s="95"/>
      <c r="GP41" s="95"/>
      <c r="GQ41" s="95"/>
      <c r="GR41" s="95"/>
      <c r="GS41" s="95"/>
      <c r="GT41" s="95"/>
      <c r="GU41" s="96"/>
    </row>
    <row r="42" spans="2:203" ht="19.5" customHeight="1" thickBot="1" x14ac:dyDescent="0.3">
      <c r="B42" s="26" t="s">
        <v>17</v>
      </c>
      <c r="C42" s="28">
        <f>SUM($C$4,$C$6,$C$8,$C$10,$C$12,$C$14,$C$16,$C$18,$C$20,$C$22,$C$24,$C$26,$C$28,$C$30,$C$32,$C$34,$C$36,$C$38,$C$40)</f>
        <v>55</v>
      </c>
      <c r="D42" s="97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9"/>
      <c r="AR42" s="97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  <c r="BT42" s="98"/>
      <c r="BU42" s="98"/>
      <c r="BV42" s="98"/>
      <c r="BW42" s="98"/>
      <c r="BX42" s="98"/>
      <c r="BY42" s="98"/>
      <c r="BZ42" s="98"/>
      <c r="CA42" s="98"/>
      <c r="CB42" s="98"/>
      <c r="CC42" s="98"/>
      <c r="CD42" s="98"/>
      <c r="CE42" s="99"/>
      <c r="CF42" s="97"/>
      <c r="CG42" s="98"/>
      <c r="CH42" s="98"/>
      <c r="CI42" s="98"/>
      <c r="CJ42" s="98"/>
      <c r="CK42" s="98"/>
      <c r="CL42" s="98"/>
      <c r="CM42" s="98"/>
      <c r="CN42" s="98"/>
      <c r="CO42" s="98"/>
      <c r="CP42" s="98"/>
      <c r="CQ42" s="98"/>
      <c r="CR42" s="98"/>
      <c r="CS42" s="98"/>
      <c r="CT42" s="98"/>
      <c r="CU42" s="98"/>
      <c r="CV42" s="98"/>
      <c r="CW42" s="98"/>
      <c r="CX42" s="98"/>
      <c r="CY42" s="98"/>
      <c r="CZ42" s="98"/>
      <c r="DA42" s="98"/>
      <c r="DB42" s="98"/>
      <c r="DC42" s="98"/>
      <c r="DD42" s="98"/>
      <c r="DE42" s="98"/>
      <c r="DF42" s="98"/>
      <c r="DG42" s="98"/>
      <c r="DH42" s="98"/>
      <c r="DI42" s="98"/>
      <c r="DJ42" s="98"/>
      <c r="DK42" s="98"/>
      <c r="DL42" s="98"/>
      <c r="DM42" s="98"/>
      <c r="DN42" s="98"/>
      <c r="DO42" s="98"/>
      <c r="DP42" s="98"/>
      <c r="DQ42" s="98"/>
      <c r="DR42" s="98"/>
      <c r="DS42" s="99"/>
      <c r="DT42" s="97"/>
      <c r="DU42" s="98"/>
      <c r="DV42" s="98"/>
      <c r="DW42" s="98"/>
      <c r="DX42" s="98"/>
      <c r="DY42" s="98"/>
      <c r="DZ42" s="98"/>
      <c r="EA42" s="98"/>
      <c r="EB42" s="98"/>
      <c r="EC42" s="98"/>
      <c r="ED42" s="98"/>
      <c r="EE42" s="98"/>
      <c r="EF42" s="98"/>
      <c r="EG42" s="98"/>
      <c r="EH42" s="98"/>
      <c r="EI42" s="98"/>
      <c r="EJ42" s="98"/>
      <c r="EK42" s="98"/>
      <c r="EL42" s="98"/>
      <c r="EM42" s="98"/>
      <c r="EN42" s="98"/>
      <c r="EO42" s="98"/>
      <c r="EP42" s="98"/>
      <c r="EQ42" s="98"/>
      <c r="ER42" s="98"/>
      <c r="ES42" s="98"/>
      <c r="ET42" s="98"/>
      <c r="EU42" s="98"/>
      <c r="EV42" s="98"/>
      <c r="EW42" s="98"/>
      <c r="EX42" s="98"/>
      <c r="EY42" s="98"/>
      <c r="EZ42" s="98"/>
      <c r="FA42" s="98"/>
      <c r="FB42" s="98"/>
      <c r="FC42" s="98"/>
      <c r="FD42" s="98"/>
      <c r="FE42" s="98"/>
      <c r="FF42" s="98"/>
      <c r="FG42" s="99"/>
      <c r="FH42" s="97"/>
      <c r="FI42" s="98"/>
      <c r="FJ42" s="98"/>
      <c r="FK42" s="98"/>
      <c r="FL42" s="98"/>
      <c r="FM42" s="98"/>
      <c r="FN42" s="98"/>
      <c r="FO42" s="98"/>
      <c r="FP42" s="98"/>
      <c r="FQ42" s="98"/>
      <c r="FR42" s="98"/>
      <c r="FS42" s="98"/>
      <c r="FT42" s="98"/>
      <c r="FU42" s="98"/>
      <c r="FV42" s="98"/>
      <c r="FW42" s="98"/>
      <c r="FX42" s="98"/>
      <c r="FY42" s="98"/>
      <c r="FZ42" s="98"/>
      <c r="GA42" s="98"/>
      <c r="GB42" s="98"/>
      <c r="GC42" s="98"/>
      <c r="GD42" s="98"/>
      <c r="GE42" s="98"/>
      <c r="GF42" s="98"/>
      <c r="GG42" s="98"/>
      <c r="GH42" s="98"/>
      <c r="GI42" s="98"/>
      <c r="GJ42" s="98"/>
      <c r="GK42" s="98"/>
      <c r="GL42" s="98"/>
      <c r="GM42" s="98"/>
      <c r="GN42" s="98"/>
      <c r="GO42" s="98"/>
      <c r="GP42" s="98"/>
      <c r="GQ42" s="98"/>
      <c r="GR42" s="98"/>
      <c r="GS42" s="98"/>
      <c r="GT42" s="98"/>
      <c r="GU42" s="99"/>
    </row>
  </sheetData>
  <sheetProtection sheet="1" objects="1" scenarios="1" insertRows="0" selectLockedCells="1"/>
  <mergeCells count="24">
    <mergeCell ref="B39:B40"/>
    <mergeCell ref="D2:AQ2"/>
    <mergeCell ref="AR2:CE2"/>
    <mergeCell ref="CF2:DS2"/>
    <mergeCell ref="DT2:FG2"/>
    <mergeCell ref="B35:B36"/>
    <mergeCell ref="B37:B38"/>
    <mergeCell ref="B13:B14"/>
    <mergeCell ref="FH2:GU2"/>
    <mergeCell ref="B27:B28"/>
    <mergeCell ref="B29:B30"/>
    <mergeCell ref="B31:B32"/>
    <mergeCell ref="B33:B34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1" t="s">
        <v>21</v>
      </c>
      <c r="C3" s="16">
        <v>0</v>
      </c>
    </row>
    <row r="4" spans="1:4" ht="19.5" customHeight="1" x14ac:dyDescent="0.25">
      <c r="A4" s="19"/>
      <c r="B4" s="134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84"/>
  <sheetViews>
    <sheetView topLeftCell="A4" workbookViewId="0">
      <selection activeCell="C8" sqref="C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15" thickBot="1" x14ac:dyDescent="0.3">
      <c r="A3" s="5"/>
      <c r="B3" s="4"/>
      <c r="C3" s="115" t="s">
        <v>53</v>
      </c>
      <c r="D3" s="9"/>
    </row>
    <row r="4" spans="1:4" s="53" customFormat="1" x14ac:dyDescent="0.25">
      <c r="A4" s="105" t="s">
        <v>28</v>
      </c>
      <c r="B4" s="106">
        <v>4</v>
      </c>
      <c r="C4" s="103" t="s">
        <v>46</v>
      </c>
      <c r="D4" s="108"/>
    </row>
    <row r="5" spans="1:4" s="53" customFormat="1" x14ac:dyDescent="0.25">
      <c r="A5" s="1" t="s">
        <v>47</v>
      </c>
      <c r="B5" s="2">
        <v>4</v>
      </c>
      <c r="C5" s="104" t="s">
        <v>48</v>
      </c>
      <c r="D5" s="108"/>
    </row>
    <row r="6" spans="1:4" s="53" customFormat="1" ht="14.25" x14ac:dyDescent="0.25">
      <c r="A6" s="1"/>
      <c r="B6" s="2"/>
      <c r="C6" s="116" t="s">
        <v>54</v>
      </c>
      <c r="D6" s="108"/>
    </row>
    <row r="7" spans="1:4" s="53" customFormat="1" ht="40.5" x14ac:dyDescent="0.25">
      <c r="A7" s="1" t="s">
        <v>49</v>
      </c>
      <c r="B7" s="2">
        <v>4</v>
      </c>
      <c r="C7" s="104" t="s">
        <v>50</v>
      </c>
      <c r="D7" s="108"/>
    </row>
    <row r="8" spans="1:4" s="53" customFormat="1" ht="27" x14ac:dyDescent="0.25">
      <c r="A8" s="1" t="s">
        <v>28</v>
      </c>
      <c r="B8" s="2">
        <v>2</v>
      </c>
      <c r="C8" s="104" t="s">
        <v>51</v>
      </c>
      <c r="D8" s="108"/>
    </row>
    <row r="9" spans="1:4" s="53" customFormat="1" ht="54" x14ac:dyDescent="0.25">
      <c r="A9" s="1" t="s">
        <v>29</v>
      </c>
      <c r="B9" s="2">
        <v>3</v>
      </c>
      <c r="C9" s="104" t="s">
        <v>52</v>
      </c>
      <c r="D9" s="108"/>
    </row>
    <row r="10" spans="1:4" s="53" customFormat="1" ht="14.25" x14ac:dyDescent="0.25">
      <c r="A10" s="1"/>
      <c r="B10" s="2"/>
      <c r="C10" s="116" t="s">
        <v>55</v>
      </c>
      <c r="D10" s="108"/>
    </row>
    <row r="11" spans="1:4" s="53" customFormat="1" ht="27" x14ac:dyDescent="0.25">
      <c r="A11" s="1" t="s">
        <v>29</v>
      </c>
      <c r="B11" s="2">
        <v>2</v>
      </c>
      <c r="C11" s="104" t="s">
        <v>58</v>
      </c>
      <c r="D11" s="108"/>
    </row>
    <row r="12" spans="1:4" s="53" customFormat="1" ht="27" x14ac:dyDescent="0.25">
      <c r="A12" s="1" t="s">
        <v>29</v>
      </c>
      <c r="B12" s="2">
        <v>2</v>
      </c>
      <c r="C12" s="104" t="s">
        <v>59</v>
      </c>
      <c r="D12" s="108"/>
    </row>
    <row r="13" spans="1:4" s="53" customFormat="1" ht="40.5" x14ac:dyDescent="0.25">
      <c r="A13" s="1" t="s">
        <v>33</v>
      </c>
      <c r="B13" s="2">
        <v>2</v>
      </c>
      <c r="C13" s="104" t="s">
        <v>60</v>
      </c>
      <c r="D13" s="10"/>
    </row>
    <row r="14" spans="1:4" s="53" customFormat="1" ht="27" x14ac:dyDescent="0.25">
      <c r="A14" s="1" t="s">
        <v>34</v>
      </c>
      <c r="B14" s="2">
        <v>2</v>
      </c>
      <c r="C14" s="107" t="s">
        <v>62</v>
      </c>
      <c r="D14" s="10"/>
    </row>
    <row r="15" spans="1:4" s="53" customFormat="1" ht="14.25" x14ac:dyDescent="0.25">
      <c r="A15" s="1"/>
      <c r="B15" s="2"/>
      <c r="C15" s="116" t="s">
        <v>56</v>
      </c>
      <c r="D15" s="10"/>
    </row>
    <row r="16" spans="1:4" s="53" customFormat="1" ht="40.5" x14ac:dyDescent="0.25">
      <c r="A16" s="1" t="s">
        <v>49</v>
      </c>
      <c r="B16" s="2">
        <v>8</v>
      </c>
      <c r="C16" s="107" t="s">
        <v>63</v>
      </c>
      <c r="D16" s="10"/>
    </row>
    <row r="17" spans="1:9" s="53" customFormat="1" ht="14.25" x14ac:dyDescent="0.25">
      <c r="A17" s="1"/>
      <c r="B17" s="2"/>
      <c r="C17" s="117" t="s">
        <v>57</v>
      </c>
      <c r="D17" s="10"/>
    </row>
    <row r="18" spans="1:9" s="53" customFormat="1" ht="27" x14ac:dyDescent="0.25">
      <c r="A18" s="1" t="s">
        <v>32</v>
      </c>
      <c r="B18" s="2">
        <v>5</v>
      </c>
      <c r="C18" s="104" t="s">
        <v>64</v>
      </c>
      <c r="D18" s="10"/>
    </row>
    <row r="19" spans="1:9" s="53" customFormat="1" ht="27.75" thickBot="1" x14ac:dyDescent="0.3">
      <c r="A19" s="1" t="s">
        <v>32</v>
      </c>
      <c r="B19" s="2">
        <v>2</v>
      </c>
      <c r="C19" s="104" t="s">
        <v>65</v>
      </c>
      <c r="D19" s="10"/>
    </row>
    <row r="20" spans="1:9" ht="14.25" thickBot="1" x14ac:dyDescent="0.3">
      <c r="A20" s="12" t="s">
        <v>22</v>
      </c>
      <c r="B20" s="12">
        <f>SUM(B3:B19)</f>
        <v>40</v>
      </c>
      <c r="C20" s="100" t="s">
        <v>61</v>
      </c>
      <c r="D20" s="13"/>
    </row>
    <row r="21" spans="1:9" ht="15" thickBot="1" x14ac:dyDescent="0.35">
      <c r="A21" s="14"/>
      <c r="B21" s="14"/>
      <c r="C21" s="14"/>
      <c r="D21" s="14"/>
    </row>
    <row r="22" spans="1:9" ht="18.75" thickBot="1" x14ac:dyDescent="0.3">
      <c r="A22" s="6" t="s">
        <v>14</v>
      </c>
      <c r="B22" s="7">
        <v>2</v>
      </c>
      <c r="C22" s="17"/>
      <c r="D22" s="87"/>
    </row>
    <row r="23" spans="1:9" ht="27.75" thickBot="1" x14ac:dyDescent="0.3">
      <c r="A23" s="8" t="s">
        <v>3</v>
      </c>
      <c r="B23" s="18" t="s">
        <v>15</v>
      </c>
      <c r="C23" s="8" t="s">
        <v>7</v>
      </c>
      <c r="D23" s="8" t="s">
        <v>13</v>
      </c>
    </row>
    <row r="24" spans="1:9" ht="14.25" x14ac:dyDescent="0.25">
      <c r="A24" s="5"/>
      <c r="B24" s="4"/>
      <c r="C24" s="115" t="s">
        <v>53</v>
      </c>
      <c r="D24" s="9"/>
    </row>
    <row r="25" spans="1:9" x14ac:dyDescent="0.25">
      <c r="A25" s="105" t="s">
        <v>21</v>
      </c>
      <c r="B25" s="106">
        <v>8</v>
      </c>
      <c r="C25" s="107" t="s">
        <v>66</v>
      </c>
      <c r="D25" s="108"/>
    </row>
    <row r="26" spans="1:9" ht="14.25" x14ac:dyDescent="0.25">
      <c r="A26" s="105"/>
      <c r="B26" s="106"/>
      <c r="C26" s="116" t="s">
        <v>54</v>
      </c>
      <c r="D26" s="108"/>
    </row>
    <row r="27" spans="1:9" ht="40.5" x14ac:dyDescent="0.25">
      <c r="A27" s="105" t="s">
        <v>49</v>
      </c>
      <c r="B27" s="106">
        <v>4</v>
      </c>
      <c r="C27" s="104" t="s">
        <v>50</v>
      </c>
      <c r="D27" s="108"/>
    </row>
    <row r="28" spans="1:9" x14ac:dyDescent="0.25">
      <c r="A28" s="105" t="s">
        <v>36</v>
      </c>
      <c r="B28" s="106">
        <v>5</v>
      </c>
      <c r="C28" s="107" t="s">
        <v>67</v>
      </c>
      <c r="D28" s="108"/>
    </row>
    <row r="29" spans="1:9" ht="14.25" x14ac:dyDescent="0.25">
      <c r="A29" s="105"/>
      <c r="B29" s="106"/>
      <c r="C29" s="116" t="s">
        <v>55</v>
      </c>
      <c r="D29" s="108"/>
    </row>
    <row r="30" spans="1:9" ht="40.5" x14ac:dyDescent="0.25">
      <c r="A30" s="105" t="s">
        <v>36</v>
      </c>
      <c r="B30" s="106">
        <v>4</v>
      </c>
      <c r="C30" s="107" t="s">
        <v>68</v>
      </c>
      <c r="D30" s="108"/>
    </row>
    <row r="31" spans="1:9" ht="27" x14ac:dyDescent="0.25">
      <c r="A31" s="1" t="s">
        <v>34</v>
      </c>
      <c r="B31" s="2">
        <v>4</v>
      </c>
      <c r="C31" s="107" t="s">
        <v>69</v>
      </c>
      <c r="D31" s="10"/>
    </row>
    <row r="32" spans="1:9" ht="14.25" x14ac:dyDescent="0.25">
      <c r="A32" s="1"/>
      <c r="B32" s="2"/>
      <c r="C32" s="116" t="s">
        <v>56</v>
      </c>
      <c r="D32" s="10"/>
      <c r="E32" s="20"/>
      <c r="F32" s="20"/>
      <c r="G32" s="20"/>
      <c r="H32" s="20"/>
      <c r="I32" s="20"/>
    </row>
    <row r="33" spans="1:9" ht="40.5" customHeight="1" x14ac:dyDescent="0.25">
      <c r="A33" s="1" t="s">
        <v>49</v>
      </c>
      <c r="B33" s="2">
        <v>8</v>
      </c>
      <c r="C33" s="107" t="s">
        <v>63</v>
      </c>
      <c r="D33" s="10"/>
      <c r="E33" s="20"/>
      <c r="F33" s="32"/>
      <c r="G33" s="33"/>
      <c r="H33" s="34"/>
      <c r="I33" s="20"/>
    </row>
    <row r="34" spans="1:9" ht="14.25" x14ac:dyDescent="0.25">
      <c r="A34" s="1"/>
      <c r="B34" s="2"/>
      <c r="C34" s="117" t="s">
        <v>57</v>
      </c>
      <c r="D34" s="10"/>
      <c r="E34" s="20"/>
      <c r="F34" s="37"/>
      <c r="G34" s="38"/>
      <c r="H34" s="38"/>
      <c r="I34" s="20"/>
    </row>
    <row r="35" spans="1:9" ht="27.75" thickBot="1" x14ac:dyDescent="0.3">
      <c r="A35" s="2" t="s">
        <v>47</v>
      </c>
      <c r="B35" s="2">
        <v>7</v>
      </c>
      <c r="C35" s="104" t="s">
        <v>76</v>
      </c>
      <c r="D35" s="10"/>
      <c r="E35" s="20"/>
      <c r="F35" s="37"/>
      <c r="G35" s="38"/>
      <c r="H35" s="38"/>
      <c r="I35" s="20"/>
    </row>
    <row r="36" spans="1:9" ht="14.25" thickBot="1" x14ac:dyDescent="0.3">
      <c r="A36" s="12" t="s">
        <v>22</v>
      </c>
      <c r="B36" s="12">
        <f>SUM(B24:B35)</f>
        <v>40</v>
      </c>
      <c r="C36" s="100" t="s">
        <v>61</v>
      </c>
      <c r="D36" s="13"/>
      <c r="E36" s="20"/>
      <c r="F36" s="37"/>
      <c r="G36" s="38"/>
      <c r="H36" s="38"/>
      <c r="I36" s="20"/>
    </row>
    <row r="37" spans="1:9" ht="15" thickBot="1" x14ac:dyDescent="0.35">
      <c r="A37" s="14"/>
      <c r="B37" s="14"/>
      <c r="C37" s="14"/>
      <c r="D37" s="14"/>
      <c r="E37" s="20"/>
      <c r="F37" s="37"/>
      <c r="G37" s="38"/>
      <c r="H37" s="38"/>
      <c r="I37" s="20"/>
    </row>
    <row r="38" spans="1:9" ht="18.75" thickBot="1" x14ac:dyDescent="0.3">
      <c r="A38" s="6" t="s">
        <v>14</v>
      </c>
      <c r="B38" s="7">
        <v>3</v>
      </c>
      <c r="C38" s="17"/>
      <c r="D38" s="87"/>
      <c r="E38" s="20"/>
      <c r="F38" s="37"/>
      <c r="G38" s="38"/>
      <c r="H38" s="38"/>
      <c r="I38" s="20"/>
    </row>
    <row r="39" spans="1:9" ht="27.75" thickBot="1" x14ac:dyDescent="0.3">
      <c r="A39" s="8" t="s">
        <v>3</v>
      </c>
      <c r="B39" s="18" t="s">
        <v>15</v>
      </c>
      <c r="C39" s="8" t="s">
        <v>7</v>
      </c>
      <c r="D39" s="8" t="s">
        <v>13</v>
      </c>
      <c r="E39" s="20"/>
      <c r="F39" s="39"/>
      <c r="G39" s="40"/>
      <c r="H39" s="40"/>
      <c r="I39" s="20"/>
    </row>
    <row r="40" spans="1:9" ht="14.25" x14ac:dyDescent="0.3">
      <c r="A40" s="5"/>
      <c r="B40" s="4"/>
      <c r="C40" s="115" t="s">
        <v>53</v>
      </c>
      <c r="D40" s="9"/>
      <c r="E40" s="20"/>
      <c r="F40" s="41"/>
      <c r="G40" s="41"/>
      <c r="H40" s="41"/>
      <c r="I40" s="20"/>
    </row>
    <row r="41" spans="1:9" ht="27" x14ac:dyDescent="0.3">
      <c r="A41" s="105" t="s">
        <v>72</v>
      </c>
      <c r="B41" s="106">
        <v>4</v>
      </c>
      <c r="C41" s="107" t="s">
        <v>73</v>
      </c>
      <c r="D41" s="108"/>
      <c r="E41" s="20"/>
      <c r="F41" s="41"/>
      <c r="G41" s="41"/>
      <c r="H41" s="41"/>
      <c r="I41" s="20"/>
    </row>
    <row r="42" spans="1:9" ht="27" x14ac:dyDescent="0.3">
      <c r="A42" s="105" t="s">
        <v>35</v>
      </c>
      <c r="B42" s="106">
        <v>4</v>
      </c>
      <c r="C42" s="107" t="s">
        <v>77</v>
      </c>
      <c r="D42" s="108"/>
      <c r="E42" s="20"/>
      <c r="F42" s="41"/>
      <c r="G42" s="41"/>
      <c r="H42" s="41"/>
      <c r="I42" s="20"/>
    </row>
    <row r="43" spans="1:9" ht="14.25" x14ac:dyDescent="0.3">
      <c r="A43" s="105"/>
      <c r="B43" s="106"/>
      <c r="C43" s="116" t="s">
        <v>54</v>
      </c>
      <c r="D43" s="108"/>
      <c r="E43" s="20"/>
      <c r="F43" s="41"/>
      <c r="G43" s="41"/>
      <c r="H43" s="41"/>
      <c r="I43" s="20"/>
    </row>
    <row r="44" spans="1:9" ht="40.5" x14ac:dyDescent="0.3">
      <c r="A44" s="105" t="s">
        <v>49</v>
      </c>
      <c r="B44" s="106">
        <v>4</v>
      </c>
      <c r="C44" s="104" t="s">
        <v>50</v>
      </c>
      <c r="D44" s="108"/>
      <c r="E44" s="20"/>
      <c r="F44" s="41"/>
      <c r="G44" s="41"/>
      <c r="H44" s="41"/>
      <c r="I44" s="20"/>
    </row>
    <row r="45" spans="1:9" ht="27" x14ac:dyDescent="0.3">
      <c r="A45" s="105" t="s">
        <v>35</v>
      </c>
      <c r="B45" s="106">
        <v>5</v>
      </c>
      <c r="C45" s="107" t="s">
        <v>78</v>
      </c>
      <c r="D45" s="108"/>
      <c r="E45" s="20"/>
      <c r="F45" s="41"/>
      <c r="G45" s="41"/>
      <c r="H45" s="41"/>
      <c r="I45" s="20"/>
    </row>
    <row r="46" spans="1:9" ht="14.25" x14ac:dyDescent="0.3">
      <c r="A46" s="105"/>
      <c r="B46" s="106"/>
      <c r="C46" s="116" t="s">
        <v>55</v>
      </c>
      <c r="D46" s="108"/>
      <c r="E46" s="20"/>
      <c r="F46" s="41"/>
      <c r="G46" s="41"/>
      <c r="H46" s="41"/>
      <c r="I46" s="20"/>
    </row>
    <row r="47" spans="1:9" ht="27" x14ac:dyDescent="0.25">
      <c r="A47" s="1" t="s">
        <v>34</v>
      </c>
      <c r="B47" s="2">
        <v>4</v>
      </c>
      <c r="C47" s="107" t="s">
        <v>79</v>
      </c>
      <c r="D47" s="10"/>
      <c r="E47" s="20"/>
      <c r="F47" s="20"/>
      <c r="G47" s="20"/>
      <c r="H47" s="20"/>
      <c r="I47" s="20"/>
    </row>
    <row r="48" spans="1:9" ht="81" x14ac:dyDescent="0.25">
      <c r="A48" s="105" t="s">
        <v>74</v>
      </c>
      <c r="B48" s="106">
        <v>4</v>
      </c>
      <c r="C48" s="107" t="s">
        <v>80</v>
      </c>
      <c r="D48" s="10"/>
      <c r="E48" s="20"/>
      <c r="F48" s="20"/>
      <c r="G48" s="20"/>
      <c r="H48" s="20"/>
      <c r="I48" s="20"/>
    </row>
    <row r="49" spans="1:9" ht="14.25" x14ac:dyDescent="0.25">
      <c r="A49" s="1"/>
      <c r="B49" s="2"/>
      <c r="C49" s="116" t="s">
        <v>56</v>
      </c>
      <c r="D49" s="10"/>
      <c r="E49" s="20"/>
      <c r="F49" s="20"/>
      <c r="G49" s="20"/>
      <c r="H49" s="20"/>
      <c r="I49" s="20"/>
    </row>
    <row r="50" spans="1:9" ht="40.5" x14ac:dyDescent="0.25">
      <c r="A50" s="1" t="s">
        <v>49</v>
      </c>
      <c r="B50" s="2">
        <v>8</v>
      </c>
      <c r="C50" s="107" t="s">
        <v>63</v>
      </c>
      <c r="D50" s="10"/>
    </row>
    <row r="51" spans="1:9" ht="14.25" x14ac:dyDescent="0.25">
      <c r="A51" s="2"/>
      <c r="B51" s="2"/>
      <c r="C51" s="117" t="s">
        <v>57</v>
      </c>
      <c r="D51" s="10"/>
    </row>
    <row r="52" spans="1:9" ht="14.25" thickBot="1" x14ac:dyDescent="0.3">
      <c r="A52" s="1" t="s">
        <v>71</v>
      </c>
      <c r="B52" s="2">
        <v>7</v>
      </c>
      <c r="C52" s="107" t="s">
        <v>75</v>
      </c>
      <c r="D52" s="10"/>
    </row>
    <row r="53" spans="1:9" ht="14.25" thickBot="1" x14ac:dyDescent="0.3">
      <c r="A53" s="12" t="s">
        <v>22</v>
      </c>
      <c r="B53" s="12">
        <f>SUM(B40:B52)</f>
        <v>40</v>
      </c>
      <c r="C53" s="100" t="s">
        <v>61</v>
      </c>
      <c r="D53" s="13"/>
    </row>
    <row r="54" spans="1:9" ht="15" thickBot="1" x14ac:dyDescent="0.35">
      <c r="A54" s="14"/>
      <c r="B54" s="14"/>
      <c r="C54" s="14"/>
      <c r="D54" s="14"/>
    </row>
    <row r="55" spans="1:9" ht="18.75" thickBot="1" x14ac:dyDescent="0.3">
      <c r="A55" s="6" t="s">
        <v>14</v>
      </c>
      <c r="B55" s="7">
        <v>4</v>
      </c>
      <c r="C55" s="17"/>
      <c r="D55" s="87"/>
    </row>
    <row r="56" spans="1:9" ht="27.75" thickBot="1" x14ac:dyDescent="0.3">
      <c r="A56" s="8" t="s">
        <v>3</v>
      </c>
      <c r="B56" s="18" t="s">
        <v>15</v>
      </c>
      <c r="C56" s="8" t="s">
        <v>7</v>
      </c>
      <c r="D56" s="8" t="s">
        <v>13</v>
      </c>
    </row>
    <row r="57" spans="1:9" ht="14.25" x14ac:dyDescent="0.25">
      <c r="A57" s="5"/>
      <c r="B57" s="4"/>
      <c r="C57" s="115" t="s">
        <v>53</v>
      </c>
      <c r="D57" s="9"/>
    </row>
    <row r="58" spans="1:9" x14ac:dyDescent="0.25">
      <c r="A58" s="105" t="s">
        <v>21</v>
      </c>
      <c r="B58" s="106">
        <v>8</v>
      </c>
      <c r="C58" s="107" t="s">
        <v>81</v>
      </c>
      <c r="D58" s="108"/>
    </row>
    <row r="59" spans="1:9" ht="14.25" x14ac:dyDescent="0.25">
      <c r="A59" s="105"/>
      <c r="B59" s="106"/>
      <c r="C59" s="116" t="s">
        <v>54</v>
      </c>
      <c r="D59" s="108"/>
    </row>
    <row r="60" spans="1:9" x14ac:dyDescent="0.25">
      <c r="A60" s="105" t="s">
        <v>21</v>
      </c>
      <c r="B60" s="106">
        <v>9</v>
      </c>
      <c r="C60" s="107" t="s">
        <v>81</v>
      </c>
      <c r="D60" s="108"/>
    </row>
    <row r="61" spans="1:9" ht="14.25" x14ac:dyDescent="0.25">
      <c r="A61" s="1"/>
      <c r="B61" s="2"/>
      <c r="C61" s="116" t="s">
        <v>55</v>
      </c>
      <c r="D61" s="10"/>
    </row>
    <row r="62" spans="1:9" x14ac:dyDescent="0.25">
      <c r="A62" s="105" t="s">
        <v>21</v>
      </c>
      <c r="B62" s="2">
        <v>8</v>
      </c>
      <c r="C62" s="107" t="s">
        <v>81</v>
      </c>
      <c r="D62" s="10"/>
    </row>
    <row r="63" spans="1:9" ht="14.25" x14ac:dyDescent="0.25">
      <c r="A63" s="1"/>
      <c r="B63" s="2"/>
      <c r="C63" s="116" t="s">
        <v>56</v>
      </c>
      <c r="D63" s="10"/>
    </row>
    <row r="64" spans="1:9" x14ac:dyDescent="0.25">
      <c r="A64" s="105" t="s">
        <v>21</v>
      </c>
      <c r="B64" s="2">
        <v>8</v>
      </c>
      <c r="C64" s="107" t="s">
        <v>81</v>
      </c>
      <c r="D64" s="10"/>
    </row>
    <row r="65" spans="1:4" ht="14.25" x14ac:dyDescent="0.25">
      <c r="A65" s="2"/>
      <c r="B65" s="2"/>
      <c r="C65" s="117" t="s">
        <v>57</v>
      </c>
      <c r="D65" s="10"/>
    </row>
    <row r="66" spans="1:4" ht="14.25" thickBot="1" x14ac:dyDescent="0.3">
      <c r="A66" s="105" t="s">
        <v>21</v>
      </c>
      <c r="B66" s="2">
        <v>7</v>
      </c>
      <c r="C66" s="107" t="s">
        <v>81</v>
      </c>
      <c r="D66" s="10"/>
    </row>
    <row r="67" spans="1:4" ht="14.25" thickBot="1" x14ac:dyDescent="0.3">
      <c r="A67" s="12" t="s">
        <v>22</v>
      </c>
      <c r="B67" s="12">
        <f>SUM(B57:B66)</f>
        <v>40</v>
      </c>
      <c r="C67" s="100" t="s">
        <v>61</v>
      </c>
      <c r="D67" s="13"/>
    </row>
    <row r="68" spans="1:4" ht="15" thickBot="1" x14ac:dyDescent="0.35">
      <c r="A68" s="14"/>
      <c r="B68" s="14"/>
      <c r="C68" s="14"/>
      <c r="D68" s="14"/>
    </row>
    <row r="69" spans="1:4" ht="18.75" thickBot="1" x14ac:dyDescent="0.3">
      <c r="A69" s="6" t="s">
        <v>14</v>
      </c>
      <c r="B69" s="7">
        <v>5</v>
      </c>
      <c r="C69" s="17"/>
      <c r="D69" s="87"/>
    </row>
    <row r="70" spans="1:4" ht="27.75" thickBot="1" x14ac:dyDescent="0.3">
      <c r="A70" s="8" t="s">
        <v>3</v>
      </c>
      <c r="B70" s="18" t="s">
        <v>15</v>
      </c>
      <c r="C70" s="8" t="s">
        <v>7</v>
      </c>
      <c r="D70" s="8" t="s">
        <v>13</v>
      </c>
    </row>
    <row r="71" spans="1:4" ht="14.25" x14ac:dyDescent="0.25">
      <c r="A71" s="5"/>
      <c r="B71" s="4"/>
      <c r="C71" s="115" t="s">
        <v>53</v>
      </c>
      <c r="D71" s="9"/>
    </row>
    <row r="72" spans="1:4" x14ac:dyDescent="0.25">
      <c r="A72" s="105" t="s">
        <v>74</v>
      </c>
      <c r="B72" s="106">
        <v>7</v>
      </c>
      <c r="C72" s="107" t="s">
        <v>83</v>
      </c>
      <c r="D72" s="108"/>
    </row>
    <row r="73" spans="1:4" ht="27" x14ac:dyDescent="0.25">
      <c r="A73" s="105" t="s">
        <v>31</v>
      </c>
      <c r="B73" s="106">
        <v>1</v>
      </c>
      <c r="C73" s="107" t="s">
        <v>82</v>
      </c>
      <c r="D73" s="108"/>
    </row>
    <row r="74" spans="1:4" ht="14.25" x14ac:dyDescent="0.25">
      <c r="A74" s="105"/>
      <c r="B74" s="106"/>
      <c r="C74" s="116" t="s">
        <v>54</v>
      </c>
      <c r="D74" s="108"/>
    </row>
    <row r="75" spans="1:4" x14ac:dyDescent="0.25">
      <c r="A75" s="105" t="s">
        <v>70</v>
      </c>
      <c r="B75" s="106">
        <v>8</v>
      </c>
      <c r="C75" s="108"/>
      <c r="D75" s="108"/>
    </row>
    <row r="76" spans="1:4" ht="14.25" x14ac:dyDescent="0.25">
      <c r="A76" s="1"/>
      <c r="B76" s="2"/>
      <c r="C76" s="116" t="s">
        <v>55</v>
      </c>
      <c r="D76" s="10"/>
    </row>
    <row r="77" spans="1:4" x14ac:dyDescent="0.25">
      <c r="A77" s="105" t="s">
        <v>70</v>
      </c>
      <c r="B77" s="106">
        <v>8</v>
      </c>
      <c r="C77" s="108"/>
      <c r="D77" s="10"/>
    </row>
    <row r="78" spans="1:4" ht="14.25" x14ac:dyDescent="0.25">
      <c r="A78" s="1"/>
      <c r="B78" s="2"/>
      <c r="C78" s="116" t="s">
        <v>56</v>
      </c>
      <c r="D78" s="10"/>
    </row>
    <row r="79" spans="1:4" x14ac:dyDescent="0.25">
      <c r="A79" s="105" t="s">
        <v>70</v>
      </c>
      <c r="B79" s="106">
        <v>8</v>
      </c>
      <c r="C79" s="10"/>
      <c r="D79" s="10"/>
    </row>
    <row r="80" spans="1:4" ht="14.25" x14ac:dyDescent="0.25">
      <c r="A80" s="2"/>
      <c r="B80" s="2"/>
      <c r="C80" s="117" t="s">
        <v>57</v>
      </c>
      <c r="D80" s="10"/>
    </row>
    <row r="81" spans="1:4" ht="27.75" thickBot="1" x14ac:dyDescent="0.3">
      <c r="A81" s="2" t="s">
        <v>31</v>
      </c>
      <c r="B81" s="2">
        <v>8</v>
      </c>
      <c r="C81" s="104" t="s">
        <v>84</v>
      </c>
      <c r="D81" s="10"/>
    </row>
    <row r="82" spans="1:4" ht="14.25" thickBot="1" x14ac:dyDescent="0.3">
      <c r="A82" s="12" t="s">
        <v>22</v>
      </c>
      <c r="B82" s="12">
        <f>SUM(B71:B81)</f>
        <v>40</v>
      </c>
      <c r="C82" s="100" t="s">
        <v>61</v>
      </c>
      <c r="D82" s="13"/>
    </row>
    <row r="83" spans="1:4" ht="14.25" x14ac:dyDescent="0.3">
      <c r="A83" s="14"/>
      <c r="B83" s="14"/>
      <c r="C83" s="14"/>
      <c r="D83" s="14"/>
    </row>
    <row r="84" spans="1:4" x14ac:dyDescent="0.25">
      <c r="A84" s="101" t="s">
        <v>45</v>
      </c>
    </row>
  </sheetData>
  <sheetProtection insertRows="0" selectLockedCells="1"/>
  <dataValidations count="4">
    <dataValidation type="list" allowBlank="1" showInputMessage="1" showErrorMessage="1" sqref="A57:A66 A24:A35 A40:A52 A3:A19 A71:A8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0 B36 B53 B67 B82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57:B66 B24:B35 B40:B52 B3:B19 F34:F38 B71:B8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9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01"/>
  <sheetViews>
    <sheetView tabSelected="1" topLeftCell="A22" workbookViewId="0">
      <selection activeCell="C34" sqref="C3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43619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14.25" x14ac:dyDescent="0.25">
      <c r="A3" s="5"/>
      <c r="B3" s="4"/>
      <c r="C3" s="115" t="s">
        <v>53</v>
      </c>
      <c r="D3" s="9"/>
    </row>
    <row r="4" spans="1:4" s="53" customFormat="1" x14ac:dyDescent="0.25">
      <c r="A4" s="105" t="s">
        <v>28</v>
      </c>
      <c r="B4" s="106">
        <v>4</v>
      </c>
      <c r="C4" s="107" t="s">
        <v>85</v>
      </c>
      <c r="D4" s="108"/>
    </row>
    <row r="5" spans="1:4" s="53" customFormat="1" ht="25.5" x14ac:dyDescent="0.25">
      <c r="A5" s="105" t="s">
        <v>47</v>
      </c>
      <c r="B5" s="106">
        <v>4</v>
      </c>
      <c r="C5" s="107" t="s">
        <v>86</v>
      </c>
      <c r="D5" s="123" t="s">
        <v>91</v>
      </c>
    </row>
    <row r="6" spans="1:4" s="53" customFormat="1" ht="14.25" x14ac:dyDescent="0.25">
      <c r="A6" s="105"/>
      <c r="B6" s="106"/>
      <c r="C6" s="116" t="s">
        <v>54</v>
      </c>
      <c r="D6" s="108"/>
    </row>
    <row r="7" spans="1:4" s="53" customFormat="1" ht="40.5" x14ac:dyDescent="0.25">
      <c r="A7" s="105" t="s">
        <v>49</v>
      </c>
      <c r="B7" s="106">
        <v>4</v>
      </c>
      <c r="C7" s="107" t="s">
        <v>50</v>
      </c>
      <c r="D7" s="108"/>
    </row>
    <row r="8" spans="1:4" s="53" customFormat="1" ht="25.5" x14ac:dyDescent="0.25">
      <c r="A8" s="105" t="s">
        <v>28</v>
      </c>
      <c r="B8" s="106">
        <v>1</v>
      </c>
      <c r="C8" s="107" t="s">
        <v>87</v>
      </c>
      <c r="D8" s="123" t="s">
        <v>90</v>
      </c>
    </row>
    <row r="9" spans="1:4" s="53" customFormat="1" ht="27" x14ac:dyDescent="0.25">
      <c r="A9" s="105" t="s">
        <v>29</v>
      </c>
      <c r="B9" s="106">
        <v>4</v>
      </c>
      <c r="C9" s="107" t="s">
        <v>95</v>
      </c>
      <c r="D9" s="123"/>
    </row>
    <row r="10" spans="1:4" s="53" customFormat="1" ht="14.25" x14ac:dyDescent="0.25">
      <c r="A10" s="105"/>
      <c r="B10" s="106"/>
      <c r="C10" s="116" t="s">
        <v>55</v>
      </c>
      <c r="D10" s="108"/>
    </row>
    <row r="11" spans="1:4" s="53" customFormat="1" ht="27" x14ac:dyDescent="0.25">
      <c r="A11" s="105" t="s">
        <v>33</v>
      </c>
      <c r="B11" s="106">
        <v>2</v>
      </c>
      <c r="C11" s="107" t="s">
        <v>88</v>
      </c>
      <c r="D11" s="123" t="s">
        <v>89</v>
      </c>
    </row>
    <row r="12" spans="1:4" s="53" customFormat="1" ht="27" x14ac:dyDescent="0.25">
      <c r="A12" s="105" t="s">
        <v>32</v>
      </c>
      <c r="B12" s="106">
        <v>1</v>
      </c>
      <c r="C12" s="107" t="s">
        <v>92</v>
      </c>
      <c r="D12" s="123" t="s">
        <v>93</v>
      </c>
    </row>
    <row r="13" spans="1:4" s="53" customFormat="1" ht="27" x14ac:dyDescent="0.25">
      <c r="A13" s="105" t="s">
        <v>32</v>
      </c>
      <c r="B13" s="106">
        <v>1</v>
      </c>
      <c r="C13" s="107" t="s">
        <v>94</v>
      </c>
      <c r="D13" s="108"/>
    </row>
    <row r="14" spans="1:4" s="53" customFormat="1" ht="27" x14ac:dyDescent="0.25">
      <c r="A14" s="105" t="s">
        <v>36</v>
      </c>
      <c r="B14" s="106">
        <v>3</v>
      </c>
      <c r="C14" s="107" t="s">
        <v>96</v>
      </c>
      <c r="D14" s="108"/>
    </row>
    <row r="15" spans="1:4" s="53" customFormat="1" ht="27" x14ac:dyDescent="0.25">
      <c r="A15" s="105" t="s">
        <v>34</v>
      </c>
      <c r="B15" s="106">
        <v>1</v>
      </c>
      <c r="C15" s="107" t="s">
        <v>97</v>
      </c>
      <c r="D15" s="108"/>
    </row>
    <row r="16" spans="1:4" s="53" customFormat="1" ht="14.25" x14ac:dyDescent="0.25">
      <c r="A16" s="105"/>
      <c r="B16" s="106"/>
      <c r="C16" s="116" t="s">
        <v>56</v>
      </c>
      <c r="D16" s="108"/>
    </row>
    <row r="17" spans="1:9" s="53" customFormat="1" ht="40.5" x14ac:dyDescent="0.25">
      <c r="A17" s="105" t="s">
        <v>49</v>
      </c>
      <c r="B17" s="106">
        <v>8</v>
      </c>
      <c r="C17" s="107" t="s">
        <v>63</v>
      </c>
      <c r="D17" s="108"/>
    </row>
    <row r="18" spans="1:9" s="53" customFormat="1" ht="14.25" x14ac:dyDescent="0.25">
      <c r="A18" s="1"/>
      <c r="B18" s="2"/>
      <c r="C18" s="117" t="s">
        <v>57</v>
      </c>
      <c r="D18" s="10"/>
    </row>
    <row r="19" spans="1:9" s="53" customFormat="1" ht="27" x14ac:dyDescent="0.25">
      <c r="A19" s="1" t="s">
        <v>34</v>
      </c>
      <c r="B19" s="2">
        <v>4</v>
      </c>
      <c r="C19" s="104" t="s">
        <v>98</v>
      </c>
      <c r="D19" s="10"/>
    </row>
    <row r="20" spans="1:9" s="53" customFormat="1" ht="27" x14ac:dyDescent="0.25">
      <c r="A20" s="1" t="s">
        <v>35</v>
      </c>
      <c r="B20" s="2">
        <v>3</v>
      </c>
      <c r="C20" s="104" t="s">
        <v>104</v>
      </c>
      <c r="D20" s="10"/>
    </row>
    <row r="21" spans="1:9" s="53" customFormat="1" ht="149.25" thickBot="1" x14ac:dyDescent="0.3">
      <c r="A21" s="1"/>
      <c r="B21" s="2"/>
      <c r="C21" s="104" t="s">
        <v>105</v>
      </c>
      <c r="D21" s="10"/>
    </row>
    <row r="22" spans="1:9" ht="14.25" thickBot="1" x14ac:dyDescent="0.3">
      <c r="A22" s="48" t="s">
        <v>22</v>
      </c>
      <c r="B22" s="48">
        <f>SUM(B3:B21)</f>
        <v>40</v>
      </c>
      <c r="C22" s="102" t="s">
        <v>61</v>
      </c>
      <c r="D22" s="49"/>
    </row>
    <row r="23" spans="1:9" ht="15" thickBot="1" x14ac:dyDescent="0.35">
      <c r="A23" s="50"/>
      <c r="B23" s="50"/>
      <c r="C23" s="50"/>
      <c r="D23" s="50"/>
    </row>
    <row r="24" spans="1:9" ht="18.75" thickBot="1" x14ac:dyDescent="0.3">
      <c r="A24" s="43" t="s">
        <v>14</v>
      </c>
      <c r="B24" s="44">
        <v>2</v>
      </c>
      <c r="C24" s="45" t="s">
        <v>23</v>
      </c>
      <c r="D24" s="54">
        <f>$D$1+7</f>
        <v>43626</v>
      </c>
    </row>
    <row r="25" spans="1:9" ht="27.75" thickBot="1" x14ac:dyDescent="0.3">
      <c r="A25" s="46" t="s">
        <v>3</v>
      </c>
      <c r="B25" s="47" t="s">
        <v>15</v>
      </c>
      <c r="C25" s="46" t="s">
        <v>7</v>
      </c>
      <c r="D25" s="46" t="s">
        <v>13</v>
      </c>
    </row>
    <row r="26" spans="1:9" ht="14.25" x14ac:dyDescent="0.25">
      <c r="A26" s="5"/>
      <c r="B26" s="4"/>
      <c r="C26" s="115" t="s">
        <v>53</v>
      </c>
      <c r="D26" s="9"/>
    </row>
    <row r="27" spans="1:9" x14ac:dyDescent="0.25">
      <c r="A27" s="1" t="s">
        <v>21</v>
      </c>
      <c r="B27" s="2">
        <v>8</v>
      </c>
      <c r="C27" s="104" t="s">
        <v>101</v>
      </c>
      <c r="D27" s="10"/>
    </row>
    <row r="28" spans="1:9" ht="81" x14ac:dyDescent="0.25">
      <c r="A28" s="1"/>
      <c r="B28" s="2"/>
      <c r="C28" s="104" t="s">
        <v>99</v>
      </c>
      <c r="D28" s="10"/>
      <c r="E28" s="20"/>
      <c r="F28" s="20"/>
      <c r="G28" s="20"/>
      <c r="H28" s="20"/>
      <c r="I28" s="20"/>
    </row>
    <row r="29" spans="1:9" ht="54" x14ac:dyDescent="0.25">
      <c r="A29" s="1"/>
      <c r="B29" s="2"/>
      <c r="C29" s="107" t="s">
        <v>103</v>
      </c>
      <c r="D29" s="10"/>
      <c r="E29" s="20"/>
      <c r="F29" s="20"/>
      <c r="G29" s="20"/>
      <c r="H29" s="20"/>
      <c r="I29" s="20"/>
    </row>
    <row r="30" spans="1:9" ht="15.75" customHeight="1" x14ac:dyDescent="0.25">
      <c r="A30" s="1"/>
      <c r="B30" s="2"/>
      <c r="C30" s="116" t="s">
        <v>54</v>
      </c>
      <c r="D30" s="10"/>
      <c r="E30" s="20"/>
      <c r="F30" s="32"/>
      <c r="G30" s="33"/>
      <c r="H30" s="34"/>
      <c r="I30" s="20"/>
    </row>
    <row r="31" spans="1:9" ht="40.5" x14ac:dyDescent="0.25">
      <c r="A31" s="1" t="s">
        <v>49</v>
      </c>
      <c r="B31" s="2">
        <v>4</v>
      </c>
      <c r="C31" s="104" t="s">
        <v>50</v>
      </c>
      <c r="D31" s="10"/>
      <c r="E31" s="20"/>
      <c r="F31" s="35"/>
      <c r="G31" s="31"/>
      <c r="H31" s="31"/>
      <c r="I31" s="20"/>
    </row>
    <row r="32" spans="1:9" ht="54" x14ac:dyDescent="0.25">
      <c r="A32" s="1" t="s">
        <v>34</v>
      </c>
      <c r="B32" s="2">
        <v>2</v>
      </c>
      <c r="C32" s="104" t="s">
        <v>100</v>
      </c>
      <c r="D32" s="10"/>
      <c r="E32" s="20"/>
      <c r="F32" s="37"/>
      <c r="G32" s="38"/>
      <c r="H32" s="38"/>
      <c r="I32" s="20"/>
    </row>
    <row r="33" spans="1:9" ht="27" x14ac:dyDescent="0.25">
      <c r="A33" s="1" t="s">
        <v>34</v>
      </c>
      <c r="B33" s="2">
        <v>1</v>
      </c>
      <c r="C33" s="104" t="s">
        <v>102</v>
      </c>
      <c r="D33" s="10"/>
      <c r="E33" s="20"/>
      <c r="F33" s="37"/>
      <c r="G33" s="38"/>
      <c r="H33" s="38"/>
      <c r="I33" s="20"/>
    </row>
    <row r="34" spans="1:9" ht="81" x14ac:dyDescent="0.25">
      <c r="A34" s="1" t="s">
        <v>35</v>
      </c>
      <c r="B34" s="2">
        <v>3</v>
      </c>
      <c r="C34" s="104" t="s">
        <v>106</v>
      </c>
      <c r="D34" s="10"/>
      <c r="E34" s="20"/>
      <c r="F34" s="37"/>
      <c r="G34" s="38"/>
      <c r="H34" s="38"/>
      <c r="I34" s="20"/>
    </row>
    <row r="35" spans="1:9" ht="14.25" x14ac:dyDescent="0.25">
      <c r="A35" s="1"/>
      <c r="B35" s="2"/>
      <c r="C35" s="116" t="s">
        <v>55</v>
      </c>
      <c r="D35" s="10"/>
      <c r="E35" s="20"/>
      <c r="F35" s="37"/>
      <c r="G35" s="38"/>
      <c r="H35" s="38"/>
      <c r="I35" s="20"/>
    </row>
    <row r="36" spans="1:9" x14ac:dyDescent="0.25">
      <c r="A36" s="2"/>
      <c r="B36" s="2"/>
      <c r="C36" s="10"/>
      <c r="D36" s="10"/>
      <c r="E36" s="20"/>
      <c r="F36" s="37"/>
      <c r="G36" s="38"/>
      <c r="H36" s="38"/>
      <c r="I36" s="20"/>
    </row>
    <row r="37" spans="1:9" x14ac:dyDescent="0.25">
      <c r="A37" s="2"/>
      <c r="B37" s="2"/>
      <c r="C37" s="10"/>
      <c r="D37" s="10"/>
      <c r="E37" s="20"/>
      <c r="F37" s="37"/>
      <c r="G37" s="38"/>
      <c r="H37" s="38"/>
      <c r="I37" s="20"/>
    </row>
    <row r="38" spans="1:9" x14ac:dyDescent="0.25">
      <c r="A38" s="2"/>
      <c r="B38" s="2"/>
      <c r="C38" s="10"/>
      <c r="D38" s="10"/>
      <c r="E38" s="20"/>
      <c r="F38" s="37"/>
      <c r="G38" s="38"/>
      <c r="H38" s="38"/>
      <c r="I38" s="20"/>
    </row>
    <row r="39" spans="1:9" x14ac:dyDescent="0.25">
      <c r="A39" s="51"/>
      <c r="B39" s="51"/>
      <c r="C39" s="52"/>
      <c r="D39" s="52"/>
      <c r="E39" s="20"/>
      <c r="F39" s="37"/>
      <c r="G39" s="38"/>
      <c r="H39" s="38"/>
      <c r="I39" s="20"/>
    </row>
    <row r="40" spans="1:9" x14ac:dyDescent="0.25">
      <c r="A40" s="51"/>
      <c r="B40" s="51"/>
      <c r="C40" s="52"/>
      <c r="D40" s="52"/>
      <c r="E40" s="20"/>
      <c r="F40" s="39"/>
      <c r="G40" s="40"/>
      <c r="H40" s="40"/>
      <c r="I40" s="20"/>
    </row>
    <row r="41" spans="1:9" ht="15" thickBot="1" x14ac:dyDescent="0.35">
      <c r="A41" s="3"/>
      <c r="B41" s="3"/>
      <c r="C41" s="11"/>
      <c r="D41" s="11"/>
      <c r="E41" s="20"/>
      <c r="F41" s="41"/>
      <c r="G41" s="41"/>
      <c r="H41" s="41"/>
      <c r="I41" s="20"/>
    </row>
    <row r="42" spans="1:9" ht="14.25" thickBot="1" x14ac:dyDescent="0.3">
      <c r="A42" s="48" t="s">
        <v>22</v>
      </c>
      <c r="B42" s="48">
        <f>SUM(B26:B41)</f>
        <v>18</v>
      </c>
      <c r="C42" s="102" t="s">
        <v>61</v>
      </c>
      <c r="D42" s="49"/>
      <c r="E42" s="20"/>
      <c r="F42" s="20"/>
      <c r="G42" s="20"/>
      <c r="H42" s="20"/>
      <c r="I42" s="20"/>
    </row>
    <row r="43" spans="1:9" ht="15" thickBot="1" x14ac:dyDescent="0.35">
      <c r="A43" s="50"/>
      <c r="B43" s="50"/>
      <c r="C43" s="50"/>
      <c r="D43" s="50"/>
      <c r="E43" s="20"/>
      <c r="F43" s="20"/>
      <c r="G43" s="20"/>
      <c r="H43" s="20"/>
      <c r="I43" s="20"/>
    </row>
    <row r="44" spans="1:9" ht="18.75" thickBot="1" x14ac:dyDescent="0.3">
      <c r="A44" s="43" t="s">
        <v>14</v>
      </c>
      <c r="B44" s="44">
        <v>3</v>
      </c>
      <c r="C44" s="45" t="s">
        <v>23</v>
      </c>
      <c r="D44" s="54">
        <f>$D$24+7</f>
        <v>43633</v>
      </c>
      <c r="E44" s="20"/>
      <c r="F44" s="20"/>
      <c r="G44" s="20"/>
      <c r="H44" s="20"/>
      <c r="I44" s="20"/>
    </row>
    <row r="45" spans="1:9" ht="27.75" thickBot="1" x14ac:dyDescent="0.3">
      <c r="A45" s="46" t="s">
        <v>3</v>
      </c>
      <c r="B45" s="47" t="s">
        <v>15</v>
      </c>
      <c r="C45" s="46" t="s">
        <v>7</v>
      </c>
      <c r="D45" s="46" t="s">
        <v>13</v>
      </c>
    </row>
    <row r="46" spans="1:9" x14ac:dyDescent="0.25">
      <c r="A46" s="5"/>
      <c r="B46" s="4"/>
      <c r="C46" s="9"/>
      <c r="D46" s="9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1"/>
      <c r="B51" s="2"/>
      <c r="C51" s="10"/>
      <c r="D51" s="10"/>
    </row>
    <row r="52" spans="1:4" x14ac:dyDescent="0.25">
      <c r="A52" s="1"/>
      <c r="B52" s="2"/>
      <c r="C52" s="10"/>
      <c r="D52" s="10"/>
    </row>
    <row r="53" spans="1:4" x14ac:dyDescent="0.25">
      <c r="A53" s="1"/>
      <c r="B53" s="2"/>
      <c r="C53" s="10"/>
      <c r="D53" s="10"/>
    </row>
    <row r="54" spans="1:4" x14ac:dyDescent="0.25">
      <c r="A54" s="1"/>
      <c r="B54" s="2"/>
      <c r="C54" s="10"/>
      <c r="D54" s="10"/>
    </row>
    <row r="55" spans="1:4" x14ac:dyDescent="0.25">
      <c r="A55" s="2"/>
      <c r="B55" s="2"/>
      <c r="C55" s="10"/>
      <c r="D55" s="10"/>
    </row>
    <row r="56" spans="1:4" x14ac:dyDescent="0.25">
      <c r="A56" s="2"/>
      <c r="B56" s="2"/>
      <c r="C56" s="10"/>
      <c r="D56" s="10"/>
    </row>
    <row r="57" spans="1:4" x14ac:dyDescent="0.25">
      <c r="A57" s="2"/>
      <c r="B57" s="2"/>
      <c r="C57" s="10"/>
      <c r="D57" s="10"/>
    </row>
    <row r="58" spans="1:4" x14ac:dyDescent="0.25">
      <c r="A58" s="51"/>
      <c r="B58" s="51"/>
      <c r="C58" s="52"/>
      <c r="D58" s="52"/>
    </row>
    <row r="59" spans="1:4" x14ac:dyDescent="0.25">
      <c r="A59" s="51"/>
      <c r="B59" s="51"/>
      <c r="C59" s="52"/>
      <c r="D59" s="52"/>
    </row>
    <row r="60" spans="1:4" ht="14.25" thickBot="1" x14ac:dyDescent="0.3">
      <c r="A60" s="3"/>
      <c r="B60" s="3"/>
      <c r="C60" s="11"/>
      <c r="D60" s="11"/>
    </row>
    <row r="61" spans="1:4" ht="14.25" thickBot="1" x14ac:dyDescent="0.3">
      <c r="A61" s="48" t="s">
        <v>22</v>
      </c>
      <c r="B61" s="48">
        <f>SUM(B46:B60)</f>
        <v>0</v>
      </c>
      <c r="C61" s="102" t="s">
        <v>61</v>
      </c>
      <c r="D61" s="49"/>
    </row>
    <row r="62" spans="1:4" ht="15" thickBot="1" x14ac:dyDescent="0.35">
      <c r="A62" s="50"/>
      <c r="B62" s="50"/>
      <c r="C62" s="50"/>
      <c r="D62" s="50"/>
    </row>
    <row r="63" spans="1:4" ht="18.75" thickBot="1" x14ac:dyDescent="0.3">
      <c r="A63" s="43" t="s">
        <v>14</v>
      </c>
      <c r="B63" s="44">
        <v>4</v>
      </c>
      <c r="C63" s="45" t="s">
        <v>23</v>
      </c>
      <c r="D63" s="54">
        <f>$D$44+7</f>
        <v>43640</v>
      </c>
    </row>
    <row r="64" spans="1:4" ht="27.75" thickBot="1" x14ac:dyDescent="0.3">
      <c r="A64" s="46" t="s">
        <v>3</v>
      </c>
      <c r="B64" s="47" t="s">
        <v>15</v>
      </c>
      <c r="C64" s="46" t="s">
        <v>7</v>
      </c>
      <c r="D64" s="46" t="s">
        <v>13</v>
      </c>
    </row>
    <row r="65" spans="1:4" x14ac:dyDescent="0.25">
      <c r="A65" s="5"/>
      <c r="B65" s="4"/>
      <c r="C65" s="9"/>
      <c r="D65" s="9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x14ac:dyDescent="0.25">
      <c r="A71" s="1"/>
      <c r="B71" s="2"/>
      <c r="C71" s="10"/>
      <c r="D71" s="10"/>
    </row>
    <row r="72" spans="1:4" x14ac:dyDescent="0.25">
      <c r="A72" s="1"/>
      <c r="B72" s="2"/>
      <c r="C72" s="10"/>
      <c r="D72" s="10"/>
    </row>
    <row r="73" spans="1:4" x14ac:dyDescent="0.25">
      <c r="A73" s="1"/>
      <c r="B73" s="2"/>
      <c r="C73" s="10"/>
      <c r="D73" s="10"/>
    </row>
    <row r="74" spans="1:4" x14ac:dyDescent="0.25">
      <c r="A74" s="2"/>
      <c r="B74" s="2"/>
      <c r="C74" s="10"/>
      <c r="D74" s="10"/>
    </row>
    <row r="75" spans="1:4" x14ac:dyDescent="0.25">
      <c r="A75" s="2"/>
      <c r="B75" s="2"/>
      <c r="C75" s="10"/>
      <c r="D75" s="10"/>
    </row>
    <row r="76" spans="1:4" x14ac:dyDescent="0.25">
      <c r="A76" s="2"/>
      <c r="B76" s="2"/>
      <c r="C76" s="10"/>
      <c r="D76" s="10"/>
    </row>
    <row r="77" spans="1:4" x14ac:dyDescent="0.25">
      <c r="A77" s="51"/>
      <c r="B77" s="51"/>
      <c r="C77" s="52"/>
      <c r="D77" s="52"/>
    </row>
    <row r="78" spans="1:4" x14ac:dyDescent="0.25">
      <c r="A78" s="51"/>
      <c r="B78" s="51"/>
      <c r="C78" s="52"/>
      <c r="D78" s="52"/>
    </row>
    <row r="79" spans="1:4" ht="14.25" thickBot="1" x14ac:dyDescent="0.3">
      <c r="A79" s="3"/>
      <c r="B79" s="3"/>
      <c r="C79" s="11"/>
      <c r="D79" s="11"/>
    </row>
    <row r="80" spans="1:4" ht="14.25" thickBot="1" x14ac:dyDescent="0.3">
      <c r="A80" s="48" t="s">
        <v>22</v>
      </c>
      <c r="B80" s="48">
        <f>SUM(B65:B79)</f>
        <v>0</v>
      </c>
      <c r="C80" s="102" t="s">
        <v>61</v>
      </c>
      <c r="D80" s="49"/>
    </row>
    <row r="81" spans="1:4" ht="15" thickBot="1" x14ac:dyDescent="0.35">
      <c r="A81" s="50"/>
      <c r="B81" s="50"/>
      <c r="C81" s="50"/>
      <c r="D81" s="50"/>
    </row>
    <row r="82" spans="1:4" ht="18.75" thickBot="1" x14ac:dyDescent="0.3">
      <c r="A82" s="43" t="s">
        <v>14</v>
      </c>
      <c r="B82" s="44">
        <v>5</v>
      </c>
      <c r="C82" s="45" t="s">
        <v>23</v>
      </c>
      <c r="D82" s="54">
        <f>$D$63+7</f>
        <v>43647</v>
      </c>
    </row>
    <row r="83" spans="1:4" ht="27.75" thickBot="1" x14ac:dyDescent="0.3">
      <c r="A83" s="46" t="s">
        <v>3</v>
      </c>
      <c r="B83" s="47" t="s">
        <v>15</v>
      </c>
      <c r="C83" s="46" t="s">
        <v>7</v>
      </c>
      <c r="D83" s="46" t="s">
        <v>13</v>
      </c>
    </row>
    <row r="84" spans="1:4" x14ac:dyDescent="0.25">
      <c r="A84" s="5"/>
      <c r="B84" s="4"/>
      <c r="C84" s="9"/>
      <c r="D84" s="9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x14ac:dyDescent="0.25">
      <c r="A96" s="51"/>
      <c r="B96" s="51"/>
      <c r="C96" s="52"/>
      <c r="D96" s="52"/>
    </row>
    <row r="97" spans="1:4" x14ac:dyDescent="0.25">
      <c r="A97" s="51"/>
      <c r="B97" s="51"/>
      <c r="C97" s="52"/>
      <c r="D97" s="52"/>
    </row>
    <row r="98" spans="1:4" ht="14.25" thickBot="1" x14ac:dyDescent="0.3">
      <c r="A98" s="3"/>
      <c r="B98" s="3"/>
      <c r="C98" s="11"/>
      <c r="D98" s="11"/>
    </row>
    <row r="99" spans="1:4" ht="14.25" thickBot="1" x14ac:dyDescent="0.3">
      <c r="A99" s="48" t="s">
        <v>22</v>
      </c>
      <c r="B99" s="48">
        <f>SUM(B84:B98)</f>
        <v>0</v>
      </c>
      <c r="C99" s="102" t="s">
        <v>61</v>
      </c>
      <c r="D99" s="49"/>
    </row>
    <row r="100" spans="1:4" ht="14.25" x14ac:dyDescent="0.3">
      <c r="A100" s="50"/>
      <c r="B100" s="50"/>
      <c r="C100" s="50"/>
      <c r="D100" s="50"/>
    </row>
    <row r="101" spans="1:4" x14ac:dyDescent="0.25">
      <c r="A101" s="101" t="s">
        <v>45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2:F39 B84:B98 B46:B60 B65:B79 B26:B41 B3:B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42 B61 B80 B99">
      <formula1>0</formula1>
      <formula2>NbPerWeek * NbQuartPer</formula2>
    </dataValidation>
    <dataValidation type="list" allowBlank="1" showInputMessage="1" showErrorMessage="1" sqref="A84:A98 A46:A60 A65:A79 A3:A21 A26:A41">
      <formula1>lstTasks</formula1>
    </dataValidation>
  </dataValidations>
  <hyperlinks>
    <hyperlink ref="D8" r:id="rId1"/>
    <hyperlink ref="D5" r:id="rId2"/>
    <hyperlink ref="D12" r:id="rId3"/>
    <hyperlink ref="D11" r:id="rId4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50177" r:id="rId8" name="btnImportRealisation">
          <controlPr defaultSize="0" autoLine="0" r:id="rId9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8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Levêque Loris</dc:creator>
  <cp:lastModifiedBy>Levêque Loris</cp:lastModifiedBy>
  <cp:lastPrinted>2013-08-29T11:33:15Z</cp:lastPrinted>
  <dcterms:created xsi:type="dcterms:W3CDTF">1996-10-21T11:03:58Z</dcterms:created>
  <dcterms:modified xsi:type="dcterms:W3CDTF">2019-06-11T14:11:40Z</dcterms:modified>
</cp:coreProperties>
</file>