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JNLTRAV!$A$1:$D$23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24" i="165" s="1"/>
  <c r="D44" i="165" s="1"/>
  <c r="D63" i="165" s="1"/>
  <c r="D82" i="165" s="1"/>
  <c r="B99" i="165"/>
  <c r="B80" i="165"/>
  <c r="B61" i="165"/>
  <c r="B42" i="165"/>
  <c r="B2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<sst xmlns="http://schemas.openxmlformats.org/spreadsheetml/2006/main" count="307" uniqueCount="115">
  <si>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</si>
  <si>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</si>
  <si>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</si>
  <si>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</si>
  <si>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</si>
  <si>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</si>
  <si>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</si>
  <si>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</si>
  <si>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</si>
  <si>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</si>
  <si>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</si>
  <si>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</si>
  <si>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</si>
  <si>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</si>
  <si>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</si>
  <si>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</si>
  <si>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</si>
  <si>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</si>
  <si>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</si>
  <si>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</si>
  <si>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</si>
  <si>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</si>
  <si>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</si>
  <si>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</si>
  <si>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</si>
  <si>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</si>
  <si>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</si>
  <si>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</si>
  <si>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</si>
  <si>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</si>
  <si>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</si>
  <si>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</si>
  <si>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</si>
  <si>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</si>
  <si>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</si>
  <si>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</si>
  <si>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</si>
  <si>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</si>
  <si>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</si>
  <si>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</si>
  <si>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</si>
  <si>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</si>
  <si>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</si>
  <si>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</si>
  <si>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</si>
  <si>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</si>
  <si>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</si>
  <si>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</si>
  <si>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</si>
  <si>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</si>
  <si>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</si>
  <si>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</si>
  <si>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</si>
  <si>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</si>
  <si>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</si>
  <si>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</si>
  <si>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</si>
  <si>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</si>
  <si>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</si>
  <si>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</si>
  <si>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</si>
  <si>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</si>
  <si>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</si>
  <si>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</si>
  <si>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</si>
  <si>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</si>
  <si>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</si>
  <si>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</si>
  <si>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</si>
  <si>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</si>
  <si>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</si>
  <si>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</si>
  <si>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</si>
  <si>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</si>
  <si>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</si>
  <si>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</si>
  <si>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</si>
  <si>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</si>
  <si>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</si>
  <si>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</si>
  <si>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</si>
  <si>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</si>
  <si>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</si>
  <si>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</si>
  <si>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</si>
  <si>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</si>
  <si>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</si>
  <si>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</si>
  <si>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</si>
  <si>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</si>
  <si>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</si>
  <si>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</si>
  <si>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</si>
  <si>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</si>
  <si>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</si>
  <si>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</si>
  <si>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</si>
  <si>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</si>
  <si>
    <t>Suite de la construction d'un système de routes pour l'affichage entre page</t>
  </si>
  <si>
    <t>Fait chez soi :
Middleware reconstruisant un json
 -&gt; le json pour les tags donne un string de tous les tags, puis un string de toutes les couleurs
 -&gt; je voulais un tableau (nommé tags) possèdant des objets tag : tag1(nom, couleur), tag2(nom, couleur) etc...
 -&gt; fait à 100%</t>
  </si>
  <si>
    <t>Construction d'un middleware créant un string hexadecimal à partir d'un string rgb séparé par des '.'
 -&gt; 122.22.190 devient 0c16be
 -&gt; fait à 100%</t>
  </si>
  <si>
    <t>Lundi de Pantecôte</t>
  </si>
  <si>
    <t>Affectations des deux middles wares au projet
 -&gt; fait à 100%</t>
  </si>
  <si>
    <t>Un middle ware pour avoir les cards par utilisateur ne sera pas fait car l'affichage des cards par utilisateur n'as pas été prévue et subjectivement je n'y vois pas d'interêt.
 -&gt; temps qu'il y a les bouttons modifiers et supprimer qui sont accessible uniquement par utilisateur et peut être une méthode de tri, je trouve que tout va bien :)</t>
  </si>
  <si>
    <t>Revue du modèle ejs pour l'affichage après le json prévu
 -&gt; fait à 100%</t>
  </si>
  <si>
    <t>A faire :
 Un middle ware reconstruisant un json :
  "tagName": "test1;test2",
  "tagColor": "182.19.201;187.12.1"
 Transformation :
  "tags": [
    {"tagName": "test1",
     "tagColor: "182.19.201"},
    {"tagName": "test2",
     "tagColor": "187.12.1"}
  ]</t>
  </si>
  <si>
    <t>Ajustage de la page d'accueil :
 -&gt; les tags doivents prendre une taille relatives -&gt; la carte doit être plus grande si elle possède plus de tag(s) -&gt; Fait à 100%
 -&gt; les cartes doivent prendre le plus d'espace possible -&gt; Fait à 100% (float)
 -&gt; l'ajout d'une carte devra se faire via un style de pop-up, une div fixed qui redirige sur la page d'accueil une fois la carte ajouter -&gt; utiliser le même système pour la modification</t>
  </si>
  <si>
    <t>Fin du projet Thymio</t>
  </si>
  <si>
    <t>Création de la page modification sur une page différente
Et ajout de la fonctionnalité d'ajout dynamique de tag
 -&gt; lors du click "ajout tag", un tag est ajouté avec la couleur voulue dans une div et créé/ajuste un json qui contient tous les tags
 -&gt; repris la fonctionnalité sur la partie ajout</t>
  </si>
  <si>
    <t>Finission de l'insert des tags liés à une carte
 -&gt; j'ai réussi à les afficher dans la page modification (ils s'affichent dans le champs) mais dès que j'en supprime un ou ajoute un ils partent tous -&gt; c'est du au json qui n'est pas mis à jour lors de l'arrivée dans la page modification -&gt; les tags déjà présents sur la carte ne le sont pas dans le json front end
 -&gt; l'insert se fait via un json front-end passé en post dans un input caché en post dans le back-end</t>
  </si>
  <si>
    <t>Création d'une page simple qui permet d'afficher une information (réussite ou erreur par exemple) ainsi qu'un timer de 5sec avant dêtre redirigé sur la page index
 -&gt; permet d'afficher que l'ajout ou la modification ont bien été faites</t>
  </si>
  <si>
    <t>librarie nodejs dateformat</t>
  </si>
  <si>
    <t>function setTimeout</t>
  </si>
  <si>
    <t>Finission de la méthode d'ajout et de modification des tags
 -&gt; fait à 100%
 -&gt; quelque tests à faire
    -&gt; plusieurs tags
    -&gt; effacer puis remmetre tags
    -&gt; affacer tous les tags
    -&gt; ajouter plein de tags
    -&gt; les caractères interdit et les doublons (gérés)</t>
  </si>
  <si>
    <t>Push et revue du git
Trello
JNLTRAV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</si>
</sst>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0" fillId="16" borderId="43" xfId="0" applyFill="1" applyBorder="1" applyProtection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hyperlink" Target="https://www.w3schools.com/js/js_timing.asp" TargetMode="External"/><Relationship Id="rId11" Type="http://schemas.openxmlformats.org/officeDocument/2006/relationships/image" Target="../media/image8.emf"/><Relationship Id="rId5" Type="http://schemas.openxmlformats.org/officeDocument/2006/relationships/hyperlink" Target="https://github.com/felixge/node-dateformat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9" t="s">
        <v>40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1"/>
      <c r="AR2" s="129" t="s">
        <v>41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0"/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0"/>
      <c r="CA2" s="130"/>
      <c r="CB2" s="130"/>
      <c r="CC2" s="130"/>
      <c r="CD2" s="130"/>
      <c r="CE2" s="131"/>
      <c r="CF2" s="129" t="s">
        <v>42</v>
      </c>
      <c r="CG2" s="130"/>
      <c r="CH2" s="130"/>
      <c r="CI2" s="130"/>
      <c r="CJ2" s="130"/>
      <c r="CK2" s="130"/>
      <c r="CL2" s="130"/>
      <c r="CM2" s="130"/>
      <c r="CN2" s="130"/>
      <c r="CO2" s="130"/>
      <c r="CP2" s="130"/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0"/>
      <c r="DE2" s="130"/>
      <c r="DF2" s="130"/>
      <c r="DG2" s="130"/>
      <c r="DH2" s="130"/>
      <c r="DI2" s="130"/>
      <c r="DJ2" s="130"/>
      <c r="DK2" s="130"/>
      <c r="DL2" s="130"/>
      <c r="DM2" s="130"/>
      <c r="DN2" s="130"/>
      <c r="DO2" s="130"/>
      <c r="DP2" s="130"/>
      <c r="DQ2" s="130"/>
      <c r="DR2" s="130"/>
      <c r="DS2" s="131"/>
      <c r="DT2" s="129" t="s">
        <v>43</v>
      </c>
      <c r="DU2" s="130"/>
      <c r="DV2" s="130"/>
      <c r="DW2" s="130"/>
      <c r="DX2" s="130"/>
      <c r="DY2" s="130"/>
      <c r="DZ2" s="130"/>
      <c r="EA2" s="130"/>
      <c r="EB2" s="130"/>
      <c r="EC2" s="130"/>
      <c r="ED2" s="130"/>
      <c r="EE2" s="130"/>
      <c r="EF2" s="130"/>
      <c r="EG2" s="130"/>
      <c r="EH2" s="130"/>
      <c r="EI2" s="130"/>
      <c r="EJ2" s="130"/>
      <c r="EK2" s="130"/>
      <c r="EL2" s="130"/>
      <c r="EM2" s="130"/>
      <c r="EN2" s="130"/>
      <c r="EO2" s="130"/>
      <c r="EP2" s="130"/>
      <c r="EQ2" s="130"/>
      <c r="ER2" s="130"/>
      <c r="ES2" s="130"/>
      <c r="ET2" s="130"/>
      <c r="EU2" s="130"/>
      <c r="EV2" s="130"/>
      <c r="EW2" s="130"/>
      <c r="EX2" s="130"/>
      <c r="EY2" s="130"/>
      <c r="EZ2" s="130"/>
      <c r="FA2" s="130"/>
      <c r="FB2" s="130"/>
      <c r="FC2" s="130"/>
      <c r="FD2" s="130"/>
      <c r="FE2" s="130"/>
      <c r="FF2" s="130"/>
      <c r="FG2" s="131"/>
      <c r="FH2" s="129" t="s">
        <v>44</v>
      </c>
      <c r="FI2" s="130"/>
      <c r="FJ2" s="130"/>
      <c r="FK2" s="130"/>
      <c r="FL2" s="130"/>
      <c r="FM2" s="130"/>
      <c r="FN2" s="130"/>
      <c r="FO2" s="130"/>
      <c r="FP2" s="130"/>
      <c r="FQ2" s="130"/>
      <c r="FR2" s="130"/>
      <c r="FS2" s="130"/>
      <c r="FT2" s="130"/>
      <c r="FU2" s="130"/>
      <c r="FV2" s="130"/>
      <c r="FW2" s="130"/>
      <c r="FX2" s="130"/>
      <c r="FY2" s="130"/>
      <c r="FZ2" s="130"/>
      <c r="GA2" s="130"/>
      <c r="GB2" s="130"/>
      <c r="GC2" s="130"/>
      <c r="GD2" s="130"/>
      <c r="GE2" s="130"/>
      <c r="GF2" s="130"/>
      <c r="GG2" s="130"/>
      <c r="GH2" s="130"/>
      <c r="GI2" s="130"/>
      <c r="GJ2" s="130"/>
      <c r="GK2" s="130"/>
      <c r="GL2" s="130"/>
      <c r="GM2" s="130"/>
      <c r="GN2" s="130"/>
      <c r="GO2" s="130"/>
      <c r="GP2" s="130"/>
      <c r="GQ2" s="130"/>
      <c r="GR2" s="130"/>
      <c r="GS2" s="130"/>
      <c r="GT2" s="130"/>
      <c r="GU2" s="131"/>
    </row>
    <row r="3" spans="1:203" ht="19.5" customHeight="1" x14ac:dyDescent="0.25">
      <c r="A3" s="90"/>
      <c r="B3" s="134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5"/>
      <c r="C4" s="22">
        <v>8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21"/>
      <c r="AS4" s="122"/>
      <c r="AT4" s="122"/>
      <c r="AU4" s="122"/>
      <c r="AV4" s="122"/>
      <c r="AW4" s="122"/>
      <c r="AX4" s="122"/>
      <c r="AY4" s="122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6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33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32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33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32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33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32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33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32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33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32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33"/>
      <c r="C16" s="92">
        <v>8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22"/>
      <c r="AL16" s="122"/>
      <c r="AM16" s="122"/>
      <c r="AN16" s="122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22"/>
      <c r="BE16" s="122"/>
      <c r="BF16" s="122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32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33"/>
      <c r="C18" s="92">
        <v>3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22"/>
      <c r="AP18" s="122"/>
      <c r="AQ18" s="12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32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33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32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33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32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33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32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33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32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33"/>
      <c r="C28" s="92">
        <v>16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22"/>
      <c r="AD28" s="122"/>
      <c r="AE28" s="122"/>
      <c r="AF28" s="122"/>
      <c r="AG28" s="122"/>
      <c r="AH28" s="122"/>
      <c r="AI28" s="122"/>
      <c r="AJ28" s="122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22"/>
      <c r="BA28" s="122"/>
      <c r="BB28" s="122"/>
      <c r="BC28" s="122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32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33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32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33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32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33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32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33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32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33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32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33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55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B39:B40"/>
    <mergeCell ref="D2:AQ2"/>
    <mergeCell ref="AR2:CE2"/>
    <mergeCell ref="CF2:DS2"/>
    <mergeCell ref="DT2:FG2"/>
    <mergeCell ref="B35:B36"/>
    <mergeCell ref="B37:B38"/>
    <mergeCell ref="B13:B14"/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4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opLeftCell="A4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1"/>
  <sheetViews>
    <sheetView tabSelected="1" topLeftCell="A40" workbookViewId="0">
      <selection activeCell="C54" sqref="C5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ht="14.25" x14ac:dyDescent="0.25">
      <c r="A6" s="105"/>
      <c r="B6" s="106"/>
      <c r="C6" s="116" t="s">
        <v>54</v>
      </c>
      <c r="D6" s="108"/>
    </row>
    <row r="7" spans="1:4" s="53" customFormat="1" ht="40.5" x14ac:dyDescent="0.25">
      <c r="A7" s="105" t="s">
        <v>49</v>
      </c>
      <c r="B7" s="106">
        <v>4</v>
      </c>
      <c r="C7" s="107" t="s">
        <v>50</v>
      </c>
      <c r="D7" s="108"/>
    </row>
    <row r="8" spans="1:4" s="53" customFormat="1" ht="25.5" x14ac:dyDescent="0.25">
      <c r="A8" s="105" t="s">
        <v>28</v>
      </c>
      <c r="B8" s="106">
        <v>1</v>
      </c>
      <c r="C8" s="107" t="s">
        <v>87</v>
      </c>
      <c r="D8" s="123" t="s">
        <v>90</v>
      </c>
    </row>
    <row r="9" spans="1:4" s="53" customFormat="1" ht="27" x14ac:dyDescent="0.25">
      <c r="A9" s="105" t="s">
        <v>29</v>
      </c>
      <c r="B9" s="106">
        <v>4</v>
      </c>
      <c r="C9" s="107" t="s">
        <v>95</v>
      </c>
      <c r="D9" s="123"/>
    </row>
    <row r="10" spans="1:4" s="53" customFormat="1" ht="14.25" x14ac:dyDescent="0.25">
      <c r="A10" s="105"/>
      <c r="B10" s="106"/>
      <c r="C10" s="116" t="s">
        <v>55</v>
      </c>
      <c r="D10" s="108"/>
    </row>
    <row r="11" spans="1:4" s="53" customFormat="1" ht="27" x14ac:dyDescent="0.25">
      <c r="A11" s="105" t="s">
        <v>33</v>
      </c>
      <c r="B11" s="106">
        <v>2</v>
      </c>
      <c r="C11" s="107" t="s">
        <v>88</v>
      </c>
      <c r="D11" s="123" t="s">
        <v>89</v>
      </c>
    </row>
    <row r="12" spans="1:4" s="53" customFormat="1" ht="27" x14ac:dyDescent="0.25">
      <c r="A12" s="105" t="s">
        <v>32</v>
      </c>
      <c r="B12" s="106">
        <v>1</v>
      </c>
      <c r="C12" s="107" t="s">
        <v>92</v>
      </c>
      <c r="D12" s="123" t="s">
        <v>93</v>
      </c>
    </row>
    <row r="13" spans="1:4" s="53" customFormat="1" ht="27" x14ac:dyDescent="0.25">
      <c r="A13" s="105" t="s">
        <v>32</v>
      </c>
      <c r="B13" s="106">
        <v>1</v>
      </c>
      <c r="C13" s="107" t="s">
        <v>94</v>
      </c>
      <c r="D13" s="108"/>
    </row>
    <row r="14" spans="1:4" s="53" customFormat="1" ht="27" x14ac:dyDescent="0.25">
      <c r="A14" s="105" t="s">
        <v>36</v>
      </c>
      <c r="B14" s="106">
        <v>3</v>
      </c>
      <c r="C14" s="107" t="s">
        <v>96</v>
      </c>
      <c r="D14" s="108"/>
    </row>
    <row r="15" spans="1:4" s="53" customFormat="1" ht="27" x14ac:dyDescent="0.25">
      <c r="A15" s="105" t="s">
        <v>34</v>
      </c>
      <c r="B15" s="106">
        <v>1</v>
      </c>
      <c r="C15" s="107" t="s">
        <v>97</v>
      </c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9" s="53" customFormat="1" ht="40.5" x14ac:dyDescent="0.25">
      <c r="A17" s="105" t="s">
        <v>49</v>
      </c>
      <c r="B17" s="106">
        <v>8</v>
      </c>
      <c r="C17" s="107" t="s">
        <v>63</v>
      </c>
      <c r="D17" s="108"/>
    </row>
    <row r="18" spans="1:9" s="53" customFormat="1" ht="14.25" x14ac:dyDescent="0.25">
      <c r="A18" s="1"/>
      <c r="B18" s="2"/>
      <c r="C18" s="117" t="s">
        <v>57</v>
      </c>
      <c r="D18" s="10"/>
    </row>
    <row r="19" spans="1:9" s="53" customFormat="1" ht="27" x14ac:dyDescent="0.25">
      <c r="A19" s="1" t="s">
        <v>34</v>
      </c>
      <c r="B19" s="2">
        <v>4</v>
      </c>
      <c r="C19" s="104" t="s">
        <v>98</v>
      </c>
      <c r="D19" s="10"/>
    </row>
    <row r="20" spans="1:9" s="53" customFormat="1" ht="27" x14ac:dyDescent="0.25">
      <c r="A20" s="1" t="s">
        <v>35</v>
      </c>
      <c r="B20" s="2">
        <v>3</v>
      </c>
      <c r="C20" s="104" t="s">
        <v>104</v>
      </c>
      <c r="D20" s="10"/>
    </row>
    <row r="21" spans="1:9" s="53" customFormat="1" ht="149.25" thickBot="1" x14ac:dyDescent="0.3">
      <c r="A21" s="1"/>
      <c r="B21" s="2"/>
      <c r="C21" s="104" t="s">
        <v>105</v>
      </c>
      <c r="D21" s="10"/>
    </row>
    <row r="22" spans="1:9" ht="14.25" thickBot="1" x14ac:dyDescent="0.3">
      <c r="A22" s="48" t="s">
        <v>22</v>
      </c>
      <c r="B22" s="48">
        <f>SUM(B3:B21)</f>
        <v>40</v>
      </c>
      <c r="C22" s="102" t="s">
        <v>61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ht="14.25" x14ac:dyDescent="0.25">
      <c r="A26" s="5"/>
      <c r="B26" s="4"/>
      <c r="C26" s="115" t="s">
        <v>53</v>
      </c>
      <c r="D26" s="9"/>
    </row>
    <row r="27" spans="1:9" x14ac:dyDescent="0.25">
      <c r="A27" s="1" t="s">
        <v>21</v>
      </c>
      <c r="B27" s="2">
        <v>8</v>
      </c>
      <c r="C27" s="104" t="s">
        <v>101</v>
      </c>
      <c r="D27" s="10"/>
    </row>
    <row r="28" spans="1:9" ht="81" x14ac:dyDescent="0.25">
      <c r="A28" s="1"/>
      <c r="B28" s="2"/>
      <c r="C28" s="104" t="s">
        <v>99</v>
      </c>
      <c r="D28" s="10"/>
      <c r="E28" s="20"/>
      <c r="F28" s="20"/>
      <c r="G28" s="20"/>
      <c r="H28" s="20"/>
      <c r="I28" s="20"/>
    </row>
    <row r="29" spans="1:9" ht="54" x14ac:dyDescent="0.25">
      <c r="A29" s="1"/>
      <c r="B29" s="2"/>
      <c r="C29" s="107" t="s">
        <v>103</v>
      </c>
      <c r="D29" s="10"/>
      <c r="E29" s="20"/>
      <c r="F29" s="20"/>
      <c r="G29" s="20"/>
      <c r="H29" s="20"/>
      <c r="I29" s="20"/>
    </row>
    <row r="30" spans="1:9" ht="15.75" customHeight="1" x14ac:dyDescent="0.25">
      <c r="A30" s="1"/>
      <c r="B30" s="2"/>
      <c r="C30" s="116" t="s">
        <v>54</v>
      </c>
      <c r="D30" s="10"/>
      <c r="E30" s="20"/>
      <c r="F30" s="32"/>
      <c r="G30" s="33"/>
      <c r="H30" s="34"/>
      <c r="I30" s="20"/>
    </row>
    <row r="31" spans="1:9" ht="40.5" x14ac:dyDescent="0.25">
      <c r="A31" s="1" t="s">
        <v>49</v>
      </c>
      <c r="B31" s="2">
        <v>4</v>
      </c>
      <c r="C31" s="104" t="s">
        <v>50</v>
      </c>
      <c r="D31" s="10"/>
      <c r="E31" s="20"/>
      <c r="F31" s="35"/>
      <c r="G31" s="31"/>
      <c r="H31" s="31"/>
      <c r="I31" s="20"/>
    </row>
    <row r="32" spans="1:9" ht="54" x14ac:dyDescent="0.25">
      <c r="A32" s="1" t="s">
        <v>34</v>
      </c>
      <c r="B32" s="2">
        <v>2</v>
      </c>
      <c r="C32" s="104" t="s">
        <v>100</v>
      </c>
      <c r="D32" s="10"/>
      <c r="E32" s="20"/>
      <c r="F32" s="37"/>
      <c r="G32" s="38"/>
      <c r="H32" s="38"/>
      <c r="I32" s="20"/>
    </row>
    <row r="33" spans="1:9" ht="27" x14ac:dyDescent="0.25">
      <c r="A33" s="1" t="s">
        <v>34</v>
      </c>
      <c r="B33" s="2">
        <v>1</v>
      </c>
      <c r="C33" s="104" t="s">
        <v>102</v>
      </c>
      <c r="D33" s="10"/>
      <c r="E33" s="20"/>
      <c r="F33" s="37"/>
      <c r="G33" s="38"/>
      <c r="H33" s="38"/>
      <c r="I33" s="20"/>
    </row>
    <row r="34" spans="1:9" ht="81" x14ac:dyDescent="0.25">
      <c r="A34" s="1" t="s">
        <v>35</v>
      </c>
      <c r="B34" s="2">
        <v>1</v>
      </c>
      <c r="C34" s="104" t="s">
        <v>106</v>
      </c>
      <c r="D34" s="10"/>
      <c r="E34" s="20"/>
      <c r="F34" s="37"/>
      <c r="G34" s="38"/>
      <c r="H34" s="38"/>
      <c r="I34" s="20"/>
    </row>
    <row r="35" spans="1:9" ht="14.25" x14ac:dyDescent="0.25">
      <c r="A35" s="1"/>
      <c r="B35" s="2"/>
      <c r="C35" s="116" t="s">
        <v>55</v>
      </c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ht="14.25" x14ac:dyDescent="0.25">
      <c r="A40" s="51"/>
      <c r="B40" s="51"/>
      <c r="C40" s="117" t="s">
        <v>57</v>
      </c>
      <c r="D40" s="52"/>
      <c r="E40" s="20"/>
      <c r="F40" s="39"/>
      <c r="G40" s="40"/>
      <c r="H40" s="40"/>
      <c r="I40" s="20"/>
    </row>
    <row r="41" spans="1:9" ht="15" thickBot="1" x14ac:dyDescent="0.35">
      <c r="A41" s="3" t="s">
        <v>47</v>
      </c>
      <c r="B41" s="3">
        <v>8</v>
      </c>
      <c r="C41" s="125" t="s">
        <v>107</v>
      </c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22</v>
      </c>
      <c r="B42" s="48">
        <f>SUM(B26:B41)</f>
        <v>24</v>
      </c>
      <c r="C42" s="102" t="s">
        <v>61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14</v>
      </c>
      <c r="B44" s="44">
        <v>3</v>
      </c>
      <c r="C44" s="45" t="s">
        <v>23</v>
      </c>
      <c r="D44" s="54">
        <f>$D$24+7</f>
        <v>43633</v>
      </c>
      <c r="E44" s="20"/>
      <c r="F44" s="20"/>
      <c r="G44" s="20"/>
      <c r="H44" s="20"/>
      <c r="I44" s="20"/>
    </row>
    <row r="45" spans="1:9" ht="27.75" thickBot="1" x14ac:dyDescent="0.3">
      <c r="A45" s="46" t="s">
        <v>3</v>
      </c>
      <c r="B45" s="47" t="s">
        <v>15</v>
      </c>
      <c r="C45" s="46" t="s">
        <v>7</v>
      </c>
      <c r="D45" s="46" t="s">
        <v>13</v>
      </c>
    </row>
    <row r="46" spans="1:9" ht="14.25" x14ac:dyDescent="0.25">
      <c r="A46" s="5"/>
      <c r="B46" s="4"/>
      <c r="C46" s="115" t="s">
        <v>53</v>
      </c>
      <c r="D46" s="9"/>
    </row>
    <row r="47" spans="1:9" ht="67.5" x14ac:dyDescent="0.25">
      <c r="A47" s="1" t="s">
        <v>35</v>
      </c>
      <c r="B47" s="2">
        <v>8</v>
      </c>
      <c r="C47" s="104" t="s">
        <v>108</v>
      </c>
      <c r="D47" s="10"/>
    </row>
    <row r="48" spans="1:9" ht="14.25" x14ac:dyDescent="0.25">
      <c r="A48" s="1"/>
      <c r="B48" s="2"/>
      <c r="C48" s="116" t="s">
        <v>54</v>
      </c>
      <c r="D48" s="10"/>
    </row>
    <row r="49" spans="1:4" ht="94.5" x14ac:dyDescent="0.25">
      <c r="A49" s="1" t="s">
        <v>34</v>
      </c>
      <c r="B49" s="2">
        <v>5</v>
      </c>
      <c r="C49" s="104" t="s">
        <v>109</v>
      </c>
      <c r="D49" s="10"/>
    </row>
    <row r="50" spans="1:4" ht="40.5" x14ac:dyDescent="0.25">
      <c r="A50" s="1" t="s">
        <v>34</v>
      </c>
      <c r="B50" s="2">
        <v>3</v>
      </c>
      <c r="C50" s="104" t="s">
        <v>110</v>
      </c>
      <c r="D50" s="126" t="s">
        <v>112</v>
      </c>
    </row>
    <row r="51" spans="1:4" ht="14.25" x14ac:dyDescent="0.25">
      <c r="A51" s="1"/>
      <c r="B51" s="2"/>
      <c r="C51" s="116"/>
      <c r="D51" s="126" t="s">
        <v>111</v>
      </c>
    </row>
    <row r="52" spans="1:4" ht="14.25" x14ac:dyDescent="0.25">
      <c r="A52" s="1"/>
      <c r="B52" s="2"/>
      <c r="C52" s="116" t="s">
        <v>55</v>
      </c>
      <c r="D52" s="10"/>
    </row>
    <row r="53" spans="1:4" ht="108" x14ac:dyDescent="0.25">
      <c r="A53" s="1" t="s">
        <v>34</v>
      </c>
      <c r="B53" s="2">
        <v>6</v>
      </c>
      <c r="C53" s="104" t="s">
        <v>113</v>
      </c>
      <c r="D53" s="10"/>
    </row>
    <row r="54" spans="1:4" ht="40.5" x14ac:dyDescent="0.25">
      <c r="A54" s="1" t="s">
        <v>30</v>
      </c>
      <c r="B54" s="2">
        <v>2</v>
      </c>
      <c r="C54" s="104" t="s">
        <v>114</v>
      </c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22</v>
      </c>
      <c r="B61" s="48">
        <f>SUM(B46:B60)</f>
        <v>24</v>
      </c>
      <c r="C61" s="102" t="s">
        <v>61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4</v>
      </c>
      <c r="C63" s="45" t="s">
        <v>23</v>
      </c>
      <c r="D63" s="54">
        <f>$D$44+7</f>
        <v>43640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22</v>
      </c>
      <c r="B80" s="48">
        <f>SUM(B65:B79)</f>
        <v>0</v>
      </c>
      <c r="C80" s="102" t="s">
        <v>61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14</v>
      </c>
      <c r="B82" s="44">
        <v>5</v>
      </c>
      <c r="C82" s="45" t="s">
        <v>23</v>
      </c>
      <c r="D82" s="54">
        <f>$D$63+7</f>
        <v>43647</v>
      </c>
    </row>
    <row r="83" spans="1:4" ht="27.75" thickBot="1" x14ac:dyDescent="0.3">
      <c r="A83" s="46" t="s">
        <v>3</v>
      </c>
      <c r="B83" s="47" t="s">
        <v>15</v>
      </c>
      <c r="C83" s="46" t="s">
        <v>7</v>
      </c>
      <c r="D83" s="46" t="s">
        <v>13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22</v>
      </c>
      <c r="B99" s="48">
        <f>SUM(B84:B98)</f>
        <v>0</v>
      </c>
      <c r="C99" s="102" t="s">
        <v>61</v>
      </c>
      <c r="D99" s="49"/>
    </row>
    <row r="100" spans="1:4" ht="14.25" x14ac:dyDescent="0.3">
      <c r="A100" s="50"/>
      <c r="B100" s="50"/>
      <c r="C100" s="50"/>
      <c r="D100" s="50"/>
    </row>
    <row r="101" spans="1:4" x14ac:dyDescent="0.25">
      <c r="A101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84:B98 B46:B60 B65:B79 B26:B41 B3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2 B61 B80 B99">
      <formula1>0</formula1>
      <formula2>NbPerWeek * NbQuartPer</formula2>
    </dataValidation>
    <dataValidation type="list" allowBlank="1" showInputMessage="1" showErrorMessage="1" sqref="A84:A98 A26:A41 A65:A79 A3:A21 A46:A60">
      <formula1>lstTasks</formula1>
    </dataValidation>
  </dataValidations>
  <hyperlinks>
    <hyperlink ref="D8" r:id="rId1"/>
    <hyperlink ref="D5" r:id="rId2"/>
    <hyperlink ref="D12" r:id="rId3"/>
    <hyperlink ref="D11" r:id="rId4"/>
    <hyperlink ref="D51" r:id="rId5"/>
    <hyperlink ref="D50" r:id="rId6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50177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2019-06-19T14:30:18Z</dcterms:modified>
</cp:coreProperties>
</file>