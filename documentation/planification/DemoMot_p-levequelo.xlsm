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levequelo\DemoMot_2019\documentation\planification\"/>
    </mc:Choice>
  </mc:AlternateContent>
  <bookViews>
    <workbookView xWindow="0" yWindow="0" windowWidth="28800" windowHeight="12300" activeTab="7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2" r:id="rId7"/>
    <sheet name="JNLTRAV" sheetId="165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5">achievementWeek!$A$1:$D$19</definedName>
    <definedName name="objRealizedWeek" localSheetId="7">JNLTRAV!$A$1:$D$33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5" l="1"/>
  <c r="D34" i="165" s="1"/>
  <c r="D53" i="165" s="1"/>
  <c r="D72" i="165" s="1"/>
  <c r="D91" i="165" s="1"/>
  <c r="B108" i="165"/>
  <c r="B89" i="165"/>
  <c r="B70" i="165"/>
  <c r="B51" i="165"/>
  <c r="B32" i="165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42" i="164"/>
  <c r="C41" i="164"/>
  <c r="B82" i="162"/>
  <c r="B67" i="162"/>
  <c r="B53" i="162"/>
  <c r="B36" i="162"/>
  <c r="B20" i="162"/>
  <c r="B18" i="154" l="1"/>
  <c r="B13" i="11" l="1"/>
</calcChain>
</file>

<file path=xl/sharedStrings.xml><?xml version="1.0" encoding="utf-8"?>
<sst xmlns="http://schemas.openxmlformats.org/spreadsheetml/2006/main" count="248" uniqueCount="87">
  <si>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</si>
  <si>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</si>
  <si>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</si>
  <si>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</si>
  <si>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</si>
  <si>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</si>
  <si>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</si>
  <si>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</si>
  <si>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</si>
  <si>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</si>
  <si>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</si>
  <si>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</si>
  <si>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</si>
  <si>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</si>
  <si>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</si>
  <si>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</si>
  <si>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</si>
  <si>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</si>
  <si>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</si>
  <si>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</si>
  <si>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</si>
  <si>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</si>
  <si>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</si>
  <si>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</si>
  <si>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</si>
  <si>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Levêque Loris</t>
  </si>
  <si>
    <t>CIN2B</t>
  </si>
  <si>
    <t>ETML - Lausanne</t>
  </si>
  <si>
    <t>Création CDC</t>
  </si>
  <si>
    <t>Création planification initiale</t>
  </si>
  <si>
    <t>Fin de journée</t>
  </si>
  <si>
    <t>Fin du DemoMot</t>
  </si>
  <si>
    <t>Créer la base de donnée</t>
  </si>
  <si>
    <t>Créer l'arborescence de base</t>
  </si>
  <si>
    <t>Créer la structure nodejs</t>
  </si>
  <si>
    <t>Créer les modèles html (pages)</t>
  </si>
  <si>
    <t>Créer l'api nodejs</t>
  </si>
  <si>
    <t>Créer le système d'utilisateur</t>
  </si>
  <si>
    <t>Implémenter l'application dans un raspberry</t>
  </si>
  <si>
    <t>Partager le raspberry</t>
  </si>
  <si>
    <t>S 1</t>
  </si>
  <si>
    <t>S 2</t>
  </si>
  <si>
    <t>S 3</t>
  </si>
  <si>
    <t>S 4</t>
  </si>
  <si>
    <t>S 5</t>
  </si>
  <si>
    <t>STOP</t>
  </si>
  <si>
    <t>Création du CDC initial</t>
  </si>
  <si>
    <t>Thymio</t>
  </si>
  <si>
    <t>Commencement du projet thymio avec mon groupe</t>
  </si>
  <si>
    <t>Théorie</t>
  </si>
  <si>
    <t>Science
Math
Anglais</t>
  </si>
  <si>
    <t>Finission du CDC
 -&gt; à faire valider</t>
  </si>
  <si>
    <t>Commencement de la planification initiale
 -&gt; Excel
 -&gt; Trello
 -&gt; Git</t>
  </si>
  <si>
    <t>Lundi</t>
  </si>
  <si>
    <t>Mardi</t>
  </si>
  <si>
    <t>Mercredi</t>
  </si>
  <si>
    <t>Jeudi</t>
  </si>
  <si>
    <t>Vendredi</t>
  </si>
  <si>
    <t>Finission de la planification initiale</t>
  </si>
  <si>
    <t>Création du Git et du Trello</t>
  </si>
  <si>
    <t>Création de l'arborescence de base
 -&gt; adaptée de mon arborescence sur le git : https://github.com/El-Chapo0133/Loris_Convention</t>
  </si>
  <si>
    <t>Max. 40</t>
  </si>
  <si>
    <t>Créer les fichiers structures de base nodejs avec les librairies voulues</t>
  </si>
  <si>
    <t>Economie
Gym
ECG</t>
  </si>
  <si>
    <t>Création de la base de donnée initiale</t>
  </si>
  <si>
    <t>Insertion de quelque données initiales</t>
  </si>
  <si>
    <t>Ferié - Lundi de Pantecôte</t>
  </si>
  <si>
    <t>Créer l'api qui va communiquer avec la base de donnée et return toutes les informations</t>
  </si>
  <si>
    <t>Finir l'api nodejs, vérifier les return, vérifier la sécurité
 -&gt; hash
 -&gt; regex</t>
  </si>
  <si>
    <t>Update la structure nodejs pour pouvoir communiquer avec l'api créé</t>
  </si>
  <si>
    <t>Présentation</t>
  </si>
  <si>
    <t>Rapport</t>
  </si>
  <si>
    <t>Rattrapage</t>
  </si>
  <si>
    <t>Rattrapage pour un cours où j'ai eu la note de 4 
 -&gt; Réseau/Powershell/Web</t>
  </si>
  <si>
    <t>Tests</t>
  </si>
  <si>
    <t>Commencement du rapport</t>
  </si>
  <si>
    <t>Fin du projet thymio
 -&gt; rdv salle de gym batiment S</t>
  </si>
  <si>
    <t>Créer le modèle pour l'affichage de toutes les cartes
 -&gt; librairie pensée : ejs</t>
  </si>
  <si>
    <t>Créer le modèle pour l'ajout/modification d'une carte
 -&gt; librairie pensée : ejs</t>
  </si>
  <si>
    <t>Update la structure de routes nodejs pour afficher les modèles correctement
 -&gt; ejs</t>
  </si>
  <si>
    <t>Tests et correction sur tous ce qui à été fait
 -&gt; api
 -&gt; base de donnée
 -&gt; modèles
 -&gt; structure nodejs
 -&gt; fichiers sources</t>
  </si>
  <si>
    <t>Camp de sport à Feisch</t>
  </si>
  <si>
    <t>Fin du Demomot
 -&gt; rendu des fichiers</t>
  </si>
  <si>
    <t>Revue de la présentation/Rapport/Fichiers</t>
  </si>
  <si>
    <t>Fin des cours
Rangement</t>
  </si>
  <si>
    <t>Commencement du CDC initial</t>
  </si>
  <si>
    <t>Commencement du projet thymio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</si>
</sst>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0" borderId="37" xfId="1" applyFont="1" applyFill="1" applyBorder="1" applyAlignment="1" applyProtection="1">
      <alignment horizontal="center" vertical="center" wrapText="1"/>
      <protection locked="0"/>
    </xf>
    <xf numFmtId="0" fontId="8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8" fillId="0" borderId="37" xfId="0" applyFont="1" applyFill="1" applyBorder="1" applyAlignment="1" applyProtection="1">
      <alignment horizontal="left" vertical="top" wrapText="1"/>
      <protection locked="0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20" fillId="0" borderId="1" xfId="0" applyFont="1" applyFill="1" applyBorder="1" applyAlignment="1" applyProtection="1">
      <alignment horizontal="left" vertical="top" wrapText="1"/>
      <protection locked="0"/>
    </xf>
    <xf numFmtId="0" fontId="20" fillId="0" borderId="37" xfId="0" applyFont="1" applyFill="1" applyBorder="1" applyAlignment="1" applyProtection="1">
      <alignment horizontal="left" vertical="top" wrapText="1"/>
      <protection locked="0"/>
    </xf>
    <xf numFmtId="0" fontId="2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6" borderId="41" xfId="0" applyFill="1" applyBorder="1" applyProtection="1"/>
    <xf numFmtId="0" fontId="0" fillId="16" borderId="42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43651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1" t="s">
        <v>19</v>
      </c>
      <c r="C19" s="12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70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71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72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U42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03" ht="14.25" thickBot="1" x14ac:dyDescent="0.3">
      <c r="B1" s="89"/>
      <c r="C1" s="89"/>
    </row>
    <row r="2" spans="1:203" ht="42.75" customHeight="1" thickBot="1" x14ac:dyDescent="0.3">
      <c r="A2" s="90"/>
      <c r="B2" s="23" t="s">
        <v>5</v>
      </c>
      <c r="C2" s="15" t="s">
        <v>18</v>
      </c>
      <c r="D2" s="125" t="s">
        <v>40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6"/>
      <c r="AQ2" s="127"/>
      <c r="AR2" s="125" t="s">
        <v>41</v>
      </c>
      <c r="AS2" s="126"/>
      <c r="AT2" s="126"/>
      <c r="AU2" s="126"/>
      <c r="AV2" s="126"/>
      <c r="AW2" s="126"/>
      <c r="AX2" s="126"/>
      <c r="AY2" s="126"/>
      <c r="AZ2" s="126"/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6"/>
      <c r="BP2" s="126"/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6"/>
      <c r="CE2" s="127"/>
      <c r="CF2" s="125" t="s">
        <v>42</v>
      </c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6"/>
      <c r="CT2" s="126"/>
      <c r="CU2" s="126"/>
      <c r="CV2" s="126"/>
      <c r="CW2" s="126"/>
      <c r="CX2" s="126"/>
      <c r="CY2" s="126"/>
      <c r="CZ2" s="126"/>
      <c r="DA2" s="126"/>
      <c r="DB2" s="126"/>
      <c r="DC2" s="126"/>
      <c r="DD2" s="126"/>
      <c r="DE2" s="126"/>
      <c r="DF2" s="126"/>
      <c r="DG2" s="126"/>
      <c r="DH2" s="126"/>
      <c r="DI2" s="126"/>
      <c r="DJ2" s="126"/>
      <c r="DK2" s="126"/>
      <c r="DL2" s="126"/>
      <c r="DM2" s="126"/>
      <c r="DN2" s="126"/>
      <c r="DO2" s="126"/>
      <c r="DP2" s="126"/>
      <c r="DQ2" s="126"/>
      <c r="DR2" s="126"/>
      <c r="DS2" s="127"/>
      <c r="DT2" s="125" t="s">
        <v>43</v>
      </c>
      <c r="DU2" s="126"/>
      <c r="DV2" s="126"/>
      <c r="DW2" s="126"/>
      <c r="DX2" s="126"/>
      <c r="DY2" s="126"/>
      <c r="DZ2" s="126"/>
      <c r="EA2" s="126"/>
      <c r="EB2" s="126"/>
      <c r="EC2" s="126"/>
      <c r="ED2" s="126"/>
      <c r="EE2" s="126"/>
      <c r="EF2" s="126"/>
      <c r="EG2" s="126"/>
      <c r="EH2" s="126"/>
      <c r="EI2" s="126"/>
      <c r="EJ2" s="126"/>
      <c r="EK2" s="126"/>
      <c r="EL2" s="126"/>
      <c r="EM2" s="126"/>
      <c r="EN2" s="126"/>
      <c r="EO2" s="126"/>
      <c r="EP2" s="126"/>
      <c r="EQ2" s="126"/>
      <c r="ER2" s="126"/>
      <c r="ES2" s="126"/>
      <c r="ET2" s="126"/>
      <c r="EU2" s="126"/>
      <c r="EV2" s="126"/>
      <c r="EW2" s="126"/>
      <c r="EX2" s="126"/>
      <c r="EY2" s="126"/>
      <c r="EZ2" s="126"/>
      <c r="FA2" s="126"/>
      <c r="FB2" s="126"/>
      <c r="FC2" s="126"/>
      <c r="FD2" s="126"/>
      <c r="FE2" s="126"/>
      <c r="FF2" s="126"/>
      <c r="FG2" s="127"/>
      <c r="FH2" s="125" t="s">
        <v>44</v>
      </c>
      <c r="FI2" s="126"/>
      <c r="FJ2" s="126"/>
      <c r="FK2" s="126"/>
      <c r="FL2" s="126"/>
      <c r="FM2" s="126"/>
      <c r="FN2" s="126"/>
      <c r="FO2" s="126"/>
      <c r="FP2" s="126"/>
      <c r="FQ2" s="126"/>
      <c r="FR2" s="126"/>
      <c r="FS2" s="126"/>
      <c r="FT2" s="126"/>
      <c r="FU2" s="126"/>
      <c r="FV2" s="126"/>
      <c r="FW2" s="126"/>
      <c r="FX2" s="126"/>
      <c r="FY2" s="126"/>
      <c r="FZ2" s="126"/>
      <c r="GA2" s="126"/>
      <c r="GB2" s="126"/>
      <c r="GC2" s="126"/>
      <c r="GD2" s="126"/>
      <c r="GE2" s="126"/>
      <c r="GF2" s="126"/>
      <c r="GG2" s="126"/>
      <c r="GH2" s="126"/>
      <c r="GI2" s="126"/>
      <c r="GJ2" s="126"/>
      <c r="GK2" s="126"/>
      <c r="GL2" s="126"/>
      <c r="GM2" s="126"/>
      <c r="GN2" s="126"/>
      <c r="GO2" s="126"/>
      <c r="GP2" s="126"/>
      <c r="GQ2" s="126"/>
      <c r="GR2" s="126"/>
      <c r="GS2" s="126"/>
      <c r="GT2" s="126"/>
      <c r="GU2" s="127"/>
    </row>
    <row r="3" spans="1:203" ht="19.5" customHeight="1" x14ac:dyDescent="0.25">
      <c r="A3" s="90"/>
      <c r="B3" s="128" t="s">
        <v>21</v>
      </c>
      <c r="C3" s="16">
        <v>48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1"/>
      <c r="AR3" s="118"/>
      <c r="AS3" s="119"/>
      <c r="AT3" s="119"/>
      <c r="AU3" s="119"/>
      <c r="AV3" s="119"/>
      <c r="AW3" s="119"/>
      <c r="AX3" s="119"/>
      <c r="AY3" s="119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1"/>
      <c r="CF3" s="109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1"/>
      <c r="DT3" s="118"/>
      <c r="DU3" s="119"/>
      <c r="DV3" s="119"/>
      <c r="DW3" s="119"/>
      <c r="DX3" s="119"/>
      <c r="DY3" s="119"/>
      <c r="DZ3" s="119"/>
      <c r="EA3" s="119"/>
      <c r="EB3" s="119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19"/>
      <c r="EZ3" s="119"/>
      <c r="FA3" s="119"/>
      <c r="FB3" s="119"/>
      <c r="FC3" s="119"/>
      <c r="FD3" s="119"/>
      <c r="FE3" s="119"/>
      <c r="FF3" s="119"/>
      <c r="FG3" s="120"/>
      <c r="FH3" s="109"/>
      <c r="FI3" s="110"/>
      <c r="FJ3" s="110"/>
      <c r="FK3" s="110"/>
      <c r="FL3" s="110"/>
      <c r="FM3" s="110"/>
      <c r="FN3" s="110"/>
      <c r="FO3" s="110"/>
      <c r="FP3" s="110"/>
      <c r="FQ3" s="110"/>
      <c r="FR3" s="110"/>
      <c r="FS3" s="110"/>
      <c r="FT3" s="110"/>
      <c r="FU3" s="110"/>
      <c r="FV3" s="110"/>
      <c r="FW3" s="110"/>
      <c r="FX3" s="110"/>
      <c r="FY3" s="110"/>
      <c r="FZ3" s="110"/>
      <c r="GA3" s="110"/>
      <c r="GB3" s="110"/>
      <c r="GC3" s="110"/>
      <c r="GD3" s="110"/>
      <c r="GE3" s="110"/>
      <c r="GF3" s="110"/>
      <c r="GG3" s="110"/>
      <c r="GH3" s="110"/>
      <c r="GI3" s="110"/>
      <c r="GJ3" s="110"/>
      <c r="GK3" s="110"/>
      <c r="GL3" s="110"/>
      <c r="GM3" s="110"/>
      <c r="GN3" s="110"/>
      <c r="GO3" s="110"/>
      <c r="GP3" s="110"/>
      <c r="GQ3" s="110"/>
      <c r="GR3" s="110"/>
      <c r="GS3" s="110"/>
      <c r="GT3" s="110"/>
      <c r="GU3" s="111"/>
    </row>
    <row r="4" spans="1:203" ht="19.5" customHeight="1" thickBot="1" x14ac:dyDescent="0.3">
      <c r="A4" s="90"/>
      <c r="B4" s="129"/>
      <c r="C4" s="22">
        <v>0</v>
      </c>
      <c r="D4" s="112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4"/>
      <c r="AR4" s="112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4"/>
      <c r="CF4" s="112"/>
      <c r="CG4" s="113"/>
      <c r="CH4" s="113"/>
      <c r="CI4" s="113"/>
      <c r="CJ4" s="113"/>
      <c r="CK4" s="113"/>
      <c r="CL4" s="113"/>
      <c r="CM4" s="113"/>
      <c r="CN4" s="113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3"/>
      <c r="DB4" s="113"/>
      <c r="DC4" s="113"/>
      <c r="DD4" s="113"/>
      <c r="DE4" s="113"/>
      <c r="DF4" s="113"/>
      <c r="DG4" s="113"/>
      <c r="DH4" s="113"/>
      <c r="DI4" s="113"/>
      <c r="DJ4" s="113"/>
      <c r="DK4" s="113"/>
      <c r="DL4" s="113"/>
      <c r="DM4" s="113"/>
      <c r="DN4" s="113"/>
      <c r="DO4" s="113"/>
      <c r="DP4" s="113"/>
      <c r="DQ4" s="113"/>
      <c r="DR4" s="113"/>
      <c r="DS4" s="114"/>
      <c r="DT4" s="112"/>
      <c r="DU4" s="113"/>
      <c r="DV4" s="113"/>
      <c r="DW4" s="113"/>
      <c r="DX4" s="113"/>
      <c r="DY4" s="113"/>
      <c r="DZ4" s="113"/>
      <c r="EA4" s="113"/>
      <c r="EB4" s="113"/>
      <c r="EC4" s="113"/>
      <c r="ED4" s="113"/>
      <c r="EE4" s="113"/>
      <c r="EF4" s="113"/>
      <c r="EG4" s="113"/>
      <c r="EH4" s="113"/>
      <c r="EI4" s="113"/>
      <c r="EJ4" s="113"/>
      <c r="EK4" s="113"/>
      <c r="EL4" s="113"/>
      <c r="EM4" s="113"/>
      <c r="EN4" s="113"/>
      <c r="EO4" s="113"/>
      <c r="EP4" s="113"/>
      <c r="EQ4" s="113"/>
      <c r="ER4" s="113"/>
      <c r="ES4" s="113"/>
      <c r="ET4" s="113"/>
      <c r="EU4" s="113"/>
      <c r="EV4" s="113"/>
      <c r="EW4" s="113"/>
      <c r="EX4" s="113"/>
      <c r="EY4" s="113"/>
      <c r="EZ4" s="113"/>
      <c r="FA4" s="113"/>
      <c r="FB4" s="113"/>
      <c r="FC4" s="113"/>
      <c r="FD4" s="113"/>
      <c r="FE4" s="113"/>
      <c r="FF4" s="113"/>
      <c r="FG4" s="114"/>
      <c r="FH4" s="112"/>
      <c r="FI4" s="113"/>
      <c r="FJ4" s="113"/>
      <c r="FK4" s="113"/>
      <c r="FL4" s="113"/>
      <c r="FM4" s="113"/>
      <c r="FN4" s="113"/>
      <c r="FO4" s="113"/>
      <c r="FP4" s="113"/>
      <c r="FQ4" s="113"/>
      <c r="FR4" s="113"/>
      <c r="FS4" s="113"/>
      <c r="FT4" s="113"/>
      <c r="FU4" s="113"/>
      <c r="FV4" s="113"/>
      <c r="FW4" s="113"/>
      <c r="FX4" s="113"/>
      <c r="FY4" s="113"/>
      <c r="FZ4" s="113"/>
      <c r="GA4" s="113"/>
      <c r="GB4" s="113"/>
      <c r="GC4" s="113"/>
      <c r="GD4" s="113"/>
      <c r="GE4" s="113"/>
      <c r="GF4" s="113"/>
      <c r="GG4" s="113"/>
      <c r="GH4" s="113"/>
      <c r="GI4" s="113"/>
      <c r="GJ4" s="113"/>
      <c r="GK4" s="113"/>
      <c r="GL4" s="113"/>
      <c r="GM4" s="113"/>
      <c r="GN4" s="113"/>
      <c r="GO4" s="113"/>
      <c r="GP4" s="113"/>
      <c r="GQ4" s="113"/>
      <c r="GR4" s="113"/>
      <c r="GS4" s="113"/>
      <c r="GT4" s="113"/>
      <c r="GU4" s="114"/>
    </row>
    <row r="5" spans="1:203" ht="19.5" customHeight="1" x14ac:dyDescent="0.25">
      <c r="B5" s="130" t="str">
        <f>Donnees!$C$21</f>
        <v>Création CDC</v>
      </c>
      <c r="C5" s="91">
        <v>6</v>
      </c>
      <c r="D5" s="118"/>
      <c r="E5" s="119"/>
      <c r="F5" s="119"/>
      <c r="G5" s="119"/>
      <c r="H5" s="110"/>
      <c r="I5" s="110"/>
      <c r="J5" s="110"/>
      <c r="K5" s="110"/>
      <c r="L5" s="110"/>
      <c r="M5" s="110"/>
      <c r="N5" s="110"/>
      <c r="O5" s="110"/>
      <c r="P5" s="119"/>
      <c r="Q5" s="119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1"/>
      <c r="AR5" s="109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1"/>
      <c r="CF5" s="109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1"/>
      <c r="DT5" s="109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1"/>
      <c r="FH5" s="109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1"/>
    </row>
    <row r="6" spans="1:203" ht="19.5" customHeight="1" thickBot="1" x14ac:dyDescent="0.3">
      <c r="B6" s="124"/>
      <c r="C6" s="92">
        <v>4</v>
      </c>
      <c r="D6" s="132"/>
      <c r="E6" s="133"/>
      <c r="F6" s="133"/>
      <c r="G6" s="13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4"/>
      <c r="AR6" s="112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  <c r="BW6" s="113"/>
      <c r="BX6" s="113"/>
      <c r="BY6" s="113"/>
      <c r="BZ6" s="113"/>
      <c r="CA6" s="113"/>
      <c r="CB6" s="113"/>
      <c r="CC6" s="113"/>
      <c r="CD6" s="113"/>
      <c r="CE6" s="114"/>
      <c r="CF6" s="112"/>
      <c r="CG6" s="113"/>
      <c r="CH6" s="113"/>
      <c r="CI6" s="113"/>
      <c r="CJ6" s="113"/>
      <c r="CK6" s="113"/>
      <c r="CL6" s="113"/>
      <c r="CM6" s="113"/>
      <c r="CN6" s="113"/>
      <c r="CO6" s="113"/>
      <c r="CP6" s="113"/>
      <c r="CQ6" s="113"/>
      <c r="CR6" s="113"/>
      <c r="CS6" s="113"/>
      <c r="CT6" s="113"/>
      <c r="CU6" s="113"/>
      <c r="CV6" s="113"/>
      <c r="CW6" s="113"/>
      <c r="CX6" s="113"/>
      <c r="CY6" s="113"/>
      <c r="CZ6" s="113"/>
      <c r="DA6" s="113"/>
      <c r="DB6" s="113"/>
      <c r="DC6" s="113"/>
      <c r="DD6" s="113"/>
      <c r="DE6" s="113"/>
      <c r="DF6" s="113"/>
      <c r="DG6" s="113"/>
      <c r="DH6" s="113"/>
      <c r="DI6" s="113"/>
      <c r="DJ6" s="113"/>
      <c r="DK6" s="113"/>
      <c r="DL6" s="113"/>
      <c r="DM6" s="113"/>
      <c r="DN6" s="113"/>
      <c r="DO6" s="113"/>
      <c r="DP6" s="113"/>
      <c r="DQ6" s="113"/>
      <c r="DR6" s="113"/>
      <c r="DS6" s="114"/>
      <c r="DT6" s="112"/>
      <c r="DU6" s="113"/>
      <c r="DV6" s="113"/>
      <c r="DW6" s="113"/>
      <c r="DX6" s="113"/>
      <c r="DY6" s="113"/>
      <c r="DZ6" s="113"/>
      <c r="EA6" s="113"/>
      <c r="EB6" s="113"/>
      <c r="EC6" s="113"/>
      <c r="ED6" s="113"/>
      <c r="EE6" s="113"/>
      <c r="EF6" s="113"/>
      <c r="EG6" s="113"/>
      <c r="EH6" s="113"/>
      <c r="EI6" s="113"/>
      <c r="EJ6" s="113"/>
      <c r="EK6" s="113"/>
      <c r="EL6" s="113"/>
      <c r="EM6" s="113"/>
      <c r="EN6" s="113"/>
      <c r="EO6" s="113"/>
      <c r="EP6" s="113"/>
      <c r="EQ6" s="113"/>
      <c r="ER6" s="113"/>
      <c r="ES6" s="113"/>
      <c r="ET6" s="113"/>
      <c r="EU6" s="113"/>
      <c r="EV6" s="113"/>
      <c r="EW6" s="113"/>
      <c r="EX6" s="113"/>
      <c r="EY6" s="113"/>
      <c r="EZ6" s="113"/>
      <c r="FA6" s="113"/>
      <c r="FB6" s="113"/>
      <c r="FC6" s="113"/>
      <c r="FD6" s="113"/>
      <c r="FE6" s="113"/>
      <c r="FF6" s="113"/>
      <c r="FG6" s="114"/>
      <c r="FH6" s="112"/>
      <c r="FI6" s="113"/>
      <c r="FJ6" s="113"/>
      <c r="FK6" s="113"/>
      <c r="FL6" s="113"/>
      <c r="FM6" s="113"/>
      <c r="FN6" s="113"/>
      <c r="FO6" s="113"/>
      <c r="FP6" s="113"/>
      <c r="FQ6" s="113"/>
      <c r="FR6" s="113"/>
      <c r="FS6" s="113"/>
      <c r="FT6" s="113"/>
      <c r="FU6" s="113"/>
      <c r="FV6" s="113"/>
      <c r="FW6" s="113"/>
      <c r="FX6" s="113"/>
      <c r="FY6" s="113"/>
      <c r="FZ6" s="113"/>
      <c r="GA6" s="113"/>
      <c r="GB6" s="113"/>
      <c r="GC6" s="113"/>
      <c r="GD6" s="113"/>
      <c r="GE6" s="113"/>
      <c r="GF6" s="113"/>
      <c r="GG6" s="113"/>
      <c r="GH6" s="113"/>
      <c r="GI6" s="113"/>
      <c r="GJ6" s="113"/>
      <c r="GK6" s="113"/>
      <c r="GL6" s="113"/>
      <c r="GM6" s="113"/>
      <c r="GN6" s="113"/>
      <c r="GO6" s="113"/>
      <c r="GP6" s="113"/>
      <c r="GQ6" s="113"/>
      <c r="GR6" s="113"/>
      <c r="GS6" s="113"/>
      <c r="GT6" s="113"/>
      <c r="GU6" s="114"/>
    </row>
    <row r="7" spans="1:203" ht="19.5" customHeight="1" x14ac:dyDescent="0.25">
      <c r="B7" s="123" t="str">
        <f>Donnees!$C$22</f>
        <v>Création planification initiale</v>
      </c>
      <c r="C7" s="91">
        <v>7</v>
      </c>
      <c r="D7" s="109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9"/>
      <c r="S7" s="119"/>
      <c r="T7" s="119"/>
      <c r="U7" s="119"/>
      <c r="V7" s="119"/>
      <c r="W7" s="119"/>
      <c r="X7" s="119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1"/>
      <c r="AR7" s="109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1"/>
      <c r="CF7" s="109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1"/>
      <c r="DT7" s="109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1"/>
      <c r="FH7" s="109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1"/>
    </row>
    <row r="8" spans="1:203" ht="19.5" customHeight="1" thickBot="1" x14ac:dyDescent="0.3">
      <c r="B8" s="124"/>
      <c r="C8" s="92">
        <v>0</v>
      </c>
      <c r="D8" s="112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4"/>
      <c r="AR8" s="112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113"/>
      <c r="BX8" s="113"/>
      <c r="BY8" s="113"/>
      <c r="BZ8" s="113"/>
      <c r="CA8" s="113"/>
      <c r="CB8" s="113"/>
      <c r="CC8" s="113"/>
      <c r="CD8" s="113"/>
      <c r="CE8" s="114"/>
      <c r="CF8" s="112"/>
      <c r="CG8" s="113"/>
      <c r="CH8" s="113"/>
      <c r="CI8" s="113"/>
      <c r="CJ8" s="113"/>
      <c r="CK8" s="113"/>
      <c r="CL8" s="113"/>
      <c r="CM8" s="113"/>
      <c r="CN8" s="113"/>
      <c r="CO8" s="113"/>
      <c r="CP8" s="113"/>
      <c r="CQ8" s="113"/>
      <c r="CR8" s="113"/>
      <c r="CS8" s="113"/>
      <c r="CT8" s="113"/>
      <c r="CU8" s="113"/>
      <c r="CV8" s="113"/>
      <c r="CW8" s="113"/>
      <c r="CX8" s="113"/>
      <c r="CY8" s="113"/>
      <c r="CZ8" s="113"/>
      <c r="DA8" s="113"/>
      <c r="DB8" s="113"/>
      <c r="DC8" s="113"/>
      <c r="DD8" s="113"/>
      <c r="DE8" s="113"/>
      <c r="DF8" s="113"/>
      <c r="DG8" s="113"/>
      <c r="DH8" s="113"/>
      <c r="DI8" s="113"/>
      <c r="DJ8" s="113"/>
      <c r="DK8" s="113"/>
      <c r="DL8" s="113"/>
      <c r="DM8" s="113"/>
      <c r="DN8" s="113"/>
      <c r="DO8" s="113"/>
      <c r="DP8" s="113"/>
      <c r="DQ8" s="113"/>
      <c r="DR8" s="113"/>
      <c r="DS8" s="114"/>
      <c r="DT8" s="112"/>
      <c r="DU8" s="113"/>
      <c r="DV8" s="113"/>
      <c r="DW8" s="113"/>
      <c r="DX8" s="113"/>
      <c r="DY8" s="113"/>
      <c r="DZ8" s="113"/>
      <c r="EA8" s="113"/>
      <c r="EB8" s="113"/>
      <c r="EC8" s="113"/>
      <c r="ED8" s="113"/>
      <c r="EE8" s="113"/>
      <c r="EF8" s="113"/>
      <c r="EG8" s="113"/>
      <c r="EH8" s="113"/>
      <c r="EI8" s="113"/>
      <c r="EJ8" s="113"/>
      <c r="EK8" s="113"/>
      <c r="EL8" s="113"/>
      <c r="EM8" s="113"/>
      <c r="EN8" s="113"/>
      <c r="EO8" s="113"/>
      <c r="EP8" s="113"/>
      <c r="EQ8" s="113"/>
      <c r="ER8" s="113"/>
      <c r="ES8" s="113"/>
      <c r="ET8" s="113"/>
      <c r="EU8" s="113"/>
      <c r="EV8" s="113"/>
      <c r="EW8" s="113"/>
      <c r="EX8" s="113"/>
      <c r="EY8" s="113"/>
      <c r="EZ8" s="113"/>
      <c r="FA8" s="113"/>
      <c r="FB8" s="113"/>
      <c r="FC8" s="113"/>
      <c r="FD8" s="113"/>
      <c r="FE8" s="113"/>
      <c r="FF8" s="113"/>
      <c r="FG8" s="114"/>
      <c r="FH8" s="112"/>
      <c r="FI8" s="113"/>
      <c r="FJ8" s="113"/>
      <c r="FK8" s="113"/>
      <c r="FL8" s="113"/>
      <c r="FM8" s="113"/>
      <c r="FN8" s="113"/>
      <c r="FO8" s="113"/>
      <c r="FP8" s="113"/>
      <c r="FQ8" s="113"/>
      <c r="FR8" s="113"/>
      <c r="FS8" s="113"/>
      <c r="FT8" s="113"/>
      <c r="FU8" s="113"/>
      <c r="FV8" s="113"/>
      <c r="FW8" s="113"/>
      <c r="FX8" s="113"/>
      <c r="FY8" s="113"/>
      <c r="FZ8" s="113"/>
      <c r="GA8" s="113"/>
      <c r="GB8" s="113"/>
      <c r="GC8" s="113"/>
      <c r="GD8" s="113"/>
      <c r="GE8" s="113"/>
      <c r="GF8" s="113"/>
      <c r="GG8" s="113"/>
      <c r="GH8" s="113"/>
      <c r="GI8" s="113"/>
      <c r="GJ8" s="113"/>
      <c r="GK8" s="113"/>
      <c r="GL8" s="113"/>
      <c r="GM8" s="113"/>
      <c r="GN8" s="113"/>
      <c r="GO8" s="113"/>
      <c r="GP8" s="113"/>
      <c r="GQ8" s="113"/>
      <c r="GR8" s="113"/>
      <c r="GS8" s="113"/>
      <c r="GT8" s="113"/>
      <c r="GU8" s="114"/>
    </row>
    <row r="9" spans="1:203" ht="19.5" customHeight="1" x14ac:dyDescent="0.25">
      <c r="B9" s="123" t="str">
        <f>Donnees!$C$23</f>
        <v>Fin de journée</v>
      </c>
      <c r="C9" s="91">
        <v>0</v>
      </c>
      <c r="D9" s="109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1"/>
      <c r="AR9" s="109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1"/>
      <c r="CF9" s="109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1"/>
      <c r="DT9" s="109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1"/>
      <c r="FH9" s="109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1"/>
    </row>
    <row r="10" spans="1:203" ht="19.5" customHeight="1" thickBot="1" x14ac:dyDescent="0.3">
      <c r="B10" s="124"/>
      <c r="C10" s="92">
        <v>0</v>
      </c>
      <c r="D10" s="112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4"/>
      <c r="AR10" s="112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  <c r="BG10" s="113"/>
      <c r="BH10" s="113"/>
      <c r="BI10" s="113"/>
      <c r="BJ10" s="113"/>
      <c r="BK10" s="113"/>
      <c r="BL10" s="113"/>
      <c r="BM10" s="113"/>
      <c r="BN10" s="113"/>
      <c r="BO10" s="113"/>
      <c r="BP10" s="113"/>
      <c r="BQ10" s="113"/>
      <c r="BR10" s="113"/>
      <c r="BS10" s="113"/>
      <c r="BT10" s="113"/>
      <c r="BU10" s="113"/>
      <c r="BV10" s="113"/>
      <c r="BW10" s="113"/>
      <c r="BX10" s="113"/>
      <c r="BY10" s="113"/>
      <c r="BZ10" s="113"/>
      <c r="CA10" s="113"/>
      <c r="CB10" s="113"/>
      <c r="CC10" s="113"/>
      <c r="CD10" s="113"/>
      <c r="CE10" s="114"/>
      <c r="CF10" s="112"/>
      <c r="CG10" s="113"/>
      <c r="CH10" s="113"/>
      <c r="CI10" s="113"/>
      <c r="CJ10" s="113"/>
      <c r="CK10" s="113"/>
      <c r="CL10" s="113"/>
      <c r="CM10" s="113"/>
      <c r="CN10" s="113"/>
      <c r="CO10" s="113"/>
      <c r="CP10" s="113"/>
      <c r="CQ10" s="113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3"/>
      <c r="DK10" s="113"/>
      <c r="DL10" s="113"/>
      <c r="DM10" s="113"/>
      <c r="DN10" s="113"/>
      <c r="DO10" s="113"/>
      <c r="DP10" s="113"/>
      <c r="DQ10" s="113"/>
      <c r="DR10" s="113"/>
      <c r="DS10" s="114"/>
      <c r="DT10" s="112"/>
      <c r="DU10" s="113"/>
      <c r="DV10" s="113"/>
      <c r="DW10" s="113"/>
      <c r="DX10" s="113"/>
      <c r="DY10" s="113"/>
      <c r="DZ10" s="113"/>
      <c r="EA10" s="113"/>
      <c r="EB10" s="113"/>
      <c r="EC10" s="113"/>
      <c r="ED10" s="113"/>
      <c r="EE10" s="113"/>
      <c r="EF10" s="113"/>
      <c r="EG10" s="113"/>
      <c r="EH10" s="113"/>
      <c r="EI10" s="113"/>
      <c r="EJ10" s="113"/>
      <c r="EK10" s="113"/>
      <c r="EL10" s="113"/>
      <c r="EM10" s="113"/>
      <c r="EN10" s="113"/>
      <c r="EO10" s="113"/>
      <c r="EP10" s="113"/>
      <c r="EQ10" s="113"/>
      <c r="ER10" s="113"/>
      <c r="ES10" s="113"/>
      <c r="ET10" s="113"/>
      <c r="EU10" s="113"/>
      <c r="EV10" s="113"/>
      <c r="EW10" s="113"/>
      <c r="EX10" s="113"/>
      <c r="EY10" s="113"/>
      <c r="EZ10" s="113"/>
      <c r="FA10" s="113"/>
      <c r="FB10" s="113"/>
      <c r="FC10" s="113"/>
      <c r="FD10" s="113"/>
      <c r="FE10" s="113"/>
      <c r="FF10" s="113"/>
      <c r="FG10" s="114"/>
      <c r="FH10" s="112"/>
      <c r="FI10" s="113"/>
      <c r="FJ10" s="113"/>
      <c r="FK10" s="113"/>
      <c r="FL10" s="113"/>
      <c r="FM10" s="113"/>
      <c r="FN10" s="113"/>
      <c r="FO10" s="113"/>
      <c r="FP10" s="113"/>
      <c r="FQ10" s="113"/>
      <c r="FR10" s="113"/>
      <c r="FS10" s="113"/>
      <c r="FT10" s="113"/>
      <c r="FU10" s="113"/>
      <c r="FV10" s="113"/>
      <c r="FW10" s="113"/>
      <c r="FX10" s="113"/>
      <c r="FY10" s="113"/>
      <c r="FZ10" s="113"/>
      <c r="GA10" s="113"/>
      <c r="GB10" s="113"/>
      <c r="GC10" s="113"/>
      <c r="GD10" s="113"/>
      <c r="GE10" s="113"/>
      <c r="GF10" s="113"/>
      <c r="GG10" s="113"/>
      <c r="GH10" s="113"/>
      <c r="GI10" s="113"/>
      <c r="GJ10" s="113"/>
      <c r="GK10" s="113"/>
      <c r="GL10" s="113"/>
      <c r="GM10" s="113"/>
      <c r="GN10" s="113"/>
      <c r="GO10" s="113"/>
      <c r="GP10" s="113"/>
      <c r="GQ10" s="113"/>
      <c r="GR10" s="113"/>
      <c r="GS10" s="113"/>
      <c r="GT10" s="113"/>
      <c r="GU10" s="114"/>
    </row>
    <row r="11" spans="1:203" ht="19.5" customHeight="1" x14ac:dyDescent="0.25">
      <c r="B11" s="123" t="str">
        <f>Donnees!$C$24</f>
        <v>Créer la base de donnée</v>
      </c>
      <c r="C11" s="91">
        <v>7</v>
      </c>
      <c r="D11" s="109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9"/>
      <c r="AL11" s="119"/>
      <c r="AM11" s="119"/>
      <c r="AN11" s="119"/>
      <c r="AO11" s="119"/>
      <c r="AP11" s="119"/>
      <c r="AQ11" s="120"/>
      <c r="AR11" s="109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1"/>
      <c r="CF11" s="109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1"/>
      <c r="DT11" s="109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1"/>
      <c r="FH11" s="109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1"/>
    </row>
    <row r="12" spans="1:203" ht="19.5" customHeight="1" thickBot="1" x14ac:dyDescent="0.3">
      <c r="B12" s="124"/>
      <c r="C12" s="92">
        <v>0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4"/>
      <c r="AR12" s="112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  <c r="BG12" s="113"/>
      <c r="BH12" s="113"/>
      <c r="BI12" s="113"/>
      <c r="BJ12" s="113"/>
      <c r="BK12" s="113"/>
      <c r="BL12" s="113"/>
      <c r="BM12" s="113"/>
      <c r="BN12" s="113"/>
      <c r="BO12" s="113"/>
      <c r="BP12" s="113"/>
      <c r="BQ12" s="113"/>
      <c r="BR12" s="113"/>
      <c r="BS12" s="113"/>
      <c r="BT12" s="113"/>
      <c r="BU12" s="113"/>
      <c r="BV12" s="113"/>
      <c r="BW12" s="113"/>
      <c r="BX12" s="113"/>
      <c r="BY12" s="113"/>
      <c r="BZ12" s="113"/>
      <c r="CA12" s="113"/>
      <c r="CB12" s="113"/>
      <c r="CC12" s="113"/>
      <c r="CD12" s="113"/>
      <c r="CE12" s="114"/>
      <c r="CF12" s="112"/>
      <c r="CG12" s="113"/>
      <c r="CH12" s="113"/>
      <c r="CI12" s="113"/>
      <c r="CJ12" s="113"/>
      <c r="CK12" s="113"/>
      <c r="CL12" s="113"/>
      <c r="CM12" s="113"/>
      <c r="CN12" s="113"/>
      <c r="CO12" s="113"/>
      <c r="CP12" s="113"/>
      <c r="CQ12" s="113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3"/>
      <c r="DK12" s="113"/>
      <c r="DL12" s="113"/>
      <c r="DM12" s="113"/>
      <c r="DN12" s="113"/>
      <c r="DO12" s="113"/>
      <c r="DP12" s="113"/>
      <c r="DQ12" s="113"/>
      <c r="DR12" s="113"/>
      <c r="DS12" s="114"/>
      <c r="DT12" s="112"/>
      <c r="DU12" s="113"/>
      <c r="DV12" s="113"/>
      <c r="DW12" s="113"/>
      <c r="DX12" s="113"/>
      <c r="DY12" s="113"/>
      <c r="DZ12" s="113"/>
      <c r="EA12" s="113"/>
      <c r="EB12" s="113"/>
      <c r="EC12" s="113"/>
      <c r="ED12" s="113"/>
      <c r="EE12" s="113"/>
      <c r="EF12" s="113"/>
      <c r="EG12" s="113"/>
      <c r="EH12" s="113"/>
      <c r="EI12" s="113"/>
      <c r="EJ12" s="113"/>
      <c r="EK12" s="113"/>
      <c r="EL12" s="113"/>
      <c r="EM12" s="113"/>
      <c r="EN12" s="113"/>
      <c r="EO12" s="113"/>
      <c r="EP12" s="113"/>
      <c r="EQ12" s="113"/>
      <c r="ER12" s="113"/>
      <c r="ES12" s="113"/>
      <c r="ET12" s="113"/>
      <c r="EU12" s="113"/>
      <c r="EV12" s="113"/>
      <c r="EW12" s="113"/>
      <c r="EX12" s="113"/>
      <c r="EY12" s="113"/>
      <c r="EZ12" s="113"/>
      <c r="FA12" s="113"/>
      <c r="FB12" s="113"/>
      <c r="FC12" s="113"/>
      <c r="FD12" s="113"/>
      <c r="FE12" s="113"/>
      <c r="FF12" s="113"/>
      <c r="FG12" s="114"/>
      <c r="FH12" s="112"/>
      <c r="FI12" s="113"/>
      <c r="FJ12" s="113"/>
      <c r="FK12" s="113"/>
      <c r="FL12" s="113"/>
      <c r="FM12" s="113"/>
      <c r="FN12" s="113"/>
      <c r="FO12" s="113"/>
      <c r="FP12" s="113"/>
      <c r="FQ12" s="113"/>
      <c r="FR12" s="113"/>
      <c r="FS12" s="113"/>
      <c r="FT12" s="113"/>
      <c r="FU12" s="113"/>
      <c r="FV12" s="113"/>
      <c r="FW12" s="113"/>
      <c r="FX12" s="113"/>
      <c r="FY12" s="113"/>
      <c r="FZ12" s="113"/>
      <c r="GA12" s="113"/>
      <c r="GB12" s="113"/>
      <c r="GC12" s="113"/>
      <c r="GD12" s="113"/>
      <c r="GE12" s="113"/>
      <c r="GF12" s="113"/>
      <c r="GG12" s="113"/>
      <c r="GH12" s="113"/>
      <c r="GI12" s="113"/>
      <c r="GJ12" s="113"/>
      <c r="GK12" s="113"/>
      <c r="GL12" s="113"/>
      <c r="GM12" s="113"/>
      <c r="GN12" s="113"/>
      <c r="GO12" s="113"/>
      <c r="GP12" s="113"/>
      <c r="GQ12" s="113"/>
      <c r="GR12" s="113"/>
      <c r="GS12" s="113"/>
      <c r="GT12" s="113"/>
      <c r="GU12" s="114"/>
    </row>
    <row r="13" spans="1:203" ht="19.5" customHeight="1" x14ac:dyDescent="0.25">
      <c r="B13" s="123" t="str">
        <f>Donnees!$C$25</f>
        <v>Créer l'arborescence de base</v>
      </c>
      <c r="C13" s="91">
        <v>2</v>
      </c>
      <c r="D13" s="109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9"/>
      <c r="Z13" s="11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1"/>
      <c r="AR13" s="109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1"/>
      <c r="CF13" s="109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1"/>
      <c r="DT13" s="109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1"/>
      <c r="FH13" s="109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1"/>
    </row>
    <row r="14" spans="1:203" ht="19.5" customHeight="1" thickBot="1" x14ac:dyDescent="0.3">
      <c r="B14" s="124"/>
      <c r="C14" s="92">
        <v>0</v>
      </c>
      <c r="D14" s="112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4"/>
      <c r="AR14" s="112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  <c r="BG14" s="113"/>
      <c r="BH14" s="113"/>
      <c r="BI14" s="113"/>
      <c r="BJ14" s="113"/>
      <c r="BK14" s="113"/>
      <c r="BL14" s="113"/>
      <c r="BM14" s="113"/>
      <c r="BN14" s="113"/>
      <c r="BO14" s="113"/>
      <c r="BP14" s="113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4"/>
      <c r="CF14" s="112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3"/>
      <c r="DK14" s="113"/>
      <c r="DL14" s="113"/>
      <c r="DM14" s="113"/>
      <c r="DN14" s="113"/>
      <c r="DO14" s="113"/>
      <c r="DP14" s="113"/>
      <c r="DQ14" s="113"/>
      <c r="DR14" s="113"/>
      <c r="DS14" s="114"/>
      <c r="DT14" s="112"/>
      <c r="DU14" s="113"/>
      <c r="DV14" s="113"/>
      <c r="DW14" s="113"/>
      <c r="DX14" s="113"/>
      <c r="DY14" s="113"/>
      <c r="DZ14" s="113"/>
      <c r="EA14" s="113"/>
      <c r="EB14" s="113"/>
      <c r="EC14" s="113"/>
      <c r="ED14" s="113"/>
      <c r="EE14" s="113"/>
      <c r="EF14" s="113"/>
      <c r="EG14" s="113"/>
      <c r="EH14" s="113"/>
      <c r="EI14" s="113"/>
      <c r="EJ14" s="113"/>
      <c r="EK14" s="113"/>
      <c r="EL14" s="113"/>
      <c r="EM14" s="113"/>
      <c r="EN14" s="113"/>
      <c r="EO14" s="113"/>
      <c r="EP14" s="113"/>
      <c r="EQ14" s="113"/>
      <c r="ER14" s="113"/>
      <c r="ES14" s="113"/>
      <c r="ET14" s="113"/>
      <c r="EU14" s="113"/>
      <c r="EV14" s="113"/>
      <c r="EW14" s="113"/>
      <c r="EX14" s="113"/>
      <c r="EY14" s="113"/>
      <c r="EZ14" s="113"/>
      <c r="FA14" s="113"/>
      <c r="FB14" s="113"/>
      <c r="FC14" s="113"/>
      <c r="FD14" s="113"/>
      <c r="FE14" s="113"/>
      <c r="FF14" s="113"/>
      <c r="FG14" s="114"/>
      <c r="FH14" s="112"/>
      <c r="FI14" s="113"/>
      <c r="FJ14" s="113"/>
      <c r="FK14" s="113"/>
      <c r="FL14" s="113"/>
      <c r="FM14" s="113"/>
      <c r="FN14" s="113"/>
      <c r="FO14" s="113"/>
      <c r="FP14" s="113"/>
      <c r="FQ14" s="113"/>
      <c r="FR14" s="113"/>
      <c r="FS14" s="113"/>
      <c r="FT14" s="113"/>
      <c r="FU14" s="113"/>
      <c r="FV14" s="113"/>
      <c r="FW14" s="113"/>
      <c r="FX14" s="113"/>
      <c r="FY14" s="113"/>
      <c r="FZ14" s="113"/>
      <c r="GA14" s="113"/>
      <c r="GB14" s="113"/>
      <c r="GC14" s="113"/>
      <c r="GD14" s="113"/>
      <c r="GE14" s="113"/>
      <c r="GF14" s="113"/>
      <c r="GG14" s="113"/>
      <c r="GH14" s="113"/>
      <c r="GI14" s="113"/>
      <c r="GJ14" s="113"/>
      <c r="GK14" s="113"/>
      <c r="GL14" s="113"/>
      <c r="GM14" s="113"/>
      <c r="GN14" s="113"/>
      <c r="GO14" s="113"/>
      <c r="GP14" s="113"/>
      <c r="GQ14" s="113"/>
      <c r="GR14" s="113"/>
      <c r="GS14" s="113"/>
      <c r="GT14" s="113"/>
      <c r="GU14" s="114"/>
    </row>
    <row r="15" spans="1:203" ht="19.5" customHeight="1" x14ac:dyDescent="0.25">
      <c r="B15" s="123" t="str">
        <f>Donnees!$C$26</f>
        <v>Créer la structure nodejs</v>
      </c>
      <c r="C15" s="91">
        <v>10</v>
      </c>
      <c r="D15" s="109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9"/>
      <c r="AB15" s="119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1"/>
      <c r="AR15" s="109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9"/>
      <c r="BN15" s="119"/>
      <c r="BO15" s="119"/>
      <c r="BP15" s="119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1"/>
      <c r="CF15" s="109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9"/>
      <c r="CX15" s="119"/>
      <c r="CY15" s="119"/>
      <c r="CZ15" s="119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1"/>
      <c r="DT15" s="109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1"/>
      <c r="FH15" s="109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1"/>
    </row>
    <row r="16" spans="1:203" ht="19.5" customHeight="1" thickBot="1" x14ac:dyDescent="0.3">
      <c r="A16" s="93"/>
      <c r="B16" s="124"/>
      <c r="C16" s="92">
        <v>0</v>
      </c>
      <c r="D16" s="112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13"/>
      <c r="AP16" s="113"/>
      <c r="AQ16" s="114"/>
      <c r="AR16" s="112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13"/>
      <c r="BE16" s="113"/>
      <c r="BF16" s="113"/>
      <c r="BG16" s="113"/>
      <c r="BH16" s="113"/>
      <c r="BI16" s="113"/>
      <c r="BJ16" s="113"/>
      <c r="BK16" s="113"/>
      <c r="BL16" s="113"/>
      <c r="BM16" s="113"/>
      <c r="BN16" s="113"/>
      <c r="BO16" s="113"/>
      <c r="BP16" s="113"/>
      <c r="BQ16" s="113"/>
      <c r="BR16" s="113"/>
      <c r="BS16" s="113"/>
      <c r="BT16" s="113"/>
      <c r="BU16" s="113"/>
      <c r="BV16" s="113"/>
      <c r="BW16" s="113"/>
      <c r="BX16" s="113"/>
      <c r="BY16" s="113"/>
      <c r="BZ16" s="113"/>
      <c r="CA16" s="113"/>
      <c r="CB16" s="113"/>
      <c r="CC16" s="113"/>
      <c r="CD16" s="113"/>
      <c r="CE16" s="114"/>
      <c r="CF16" s="112"/>
      <c r="CG16" s="113"/>
      <c r="CH16" s="113"/>
      <c r="CI16" s="113"/>
      <c r="CJ16" s="113"/>
      <c r="CK16" s="113"/>
      <c r="CL16" s="113"/>
      <c r="CM16" s="113"/>
      <c r="CN16" s="113"/>
      <c r="CO16" s="113"/>
      <c r="CP16" s="113"/>
      <c r="CQ16" s="113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3"/>
      <c r="DK16" s="113"/>
      <c r="DL16" s="113"/>
      <c r="DM16" s="113"/>
      <c r="DN16" s="113"/>
      <c r="DO16" s="113"/>
      <c r="DP16" s="113"/>
      <c r="DQ16" s="113"/>
      <c r="DR16" s="113"/>
      <c r="DS16" s="114"/>
      <c r="DT16" s="112"/>
      <c r="DU16" s="113"/>
      <c r="DV16" s="113"/>
      <c r="DW16" s="113"/>
      <c r="DX16" s="113"/>
      <c r="DY16" s="113"/>
      <c r="DZ16" s="113"/>
      <c r="EA16" s="113"/>
      <c r="EB16" s="113"/>
      <c r="EC16" s="113"/>
      <c r="ED16" s="113"/>
      <c r="EE16" s="113"/>
      <c r="EF16" s="113"/>
      <c r="EG16" s="113"/>
      <c r="EH16" s="113"/>
      <c r="EI16" s="113"/>
      <c r="EJ16" s="113"/>
      <c r="EK16" s="113"/>
      <c r="EL16" s="113"/>
      <c r="EM16" s="113"/>
      <c r="EN16" s="113"/>
      <c r="EO16" s="113"/>
      <c r="EP16" s="113"/>
      <c r="EQ16" s="113"/>
      <c r="ER16" s="113"/>
      <c r="ES16" s="113"/>
      <c r="ET16" s="113"/>
      <c r="EU16" s="113"/>
      <c r="EV16" s="113"/>
      <c r="EW16" s="113"/>
      <c r="EX16" s="113"/>
      <c r="EY16" s="113"/>
      <c r="EZ16" s="113"/>
      <c r="FA16" s="113"/>
      <c r="FB16" s="113"/>
      <c r="FC16" s="113"/>
      <c r="FD16" s="113"/>
      <c r="FE16" s="113"/>
      <c r="FF16" s="113"/>
      <c r="FG16" s="114"/>
      <c r="FH16" s="112"/>
      <c r="FI16" s="113"/>
      <c r="FJ16" s="113"/>
      <c r="FK16" s="113"/>
      <c r="FL16" s="113"/>
      <c r="FM16" s="113"/>
      <c r="FN16" s="113"/>
      <c r="FO16" s="113"/>
      <c r="FP16" s="113"/>
      <c r="FQ16" s="113"/>
      <c r="FR16" s="113"/>
      <c r="FS16" s="113"/>
      <c r="FT16" s="113"/>
      <c r="FU16" s="113"/>
      <c r="FV16" s="113"/>
      <c r="FW16" s="113"/>
      <c r="FX16" s="113"/>
      <c r="FY16" s="113"/>
      <c r="FZ16" s="113"/>
      <c r="GA16" s="113"/>
      <c r="GB16" s="113"/>
      <c r="GC16" s="113"/>
      <c r="GD16" s="113"/>
      <c r="GE16" s="113"/>
      <c r="GF16" s="113"/>
      <c r="GG16" s="113"/>
      <c r="GH16" s="113"/>
      <c r="GI16" s="113"/>
      <c r="GJ16" s="113"/>
      <c r="GK16" s="113"/>
      <c r="GL16" s="113"/>
      <c r="GM16" s="113"/>
      <c r="GN16" s="113"/>
      <c r="GO16" s="113"/>
      <c r="GP16" s="113"/>
      <c r="GQ16" s="113"/>
      <c r="GR16" s="113"/>
      <c r="GS16" s="113"/>
      <c r="GT16" s="113"/>
      <c r="GU16" s="114"/>
    </row>
    <row r="17" spans="2:203" ht="19.5" customHeight="1" x14ac:dyDescent="0.25">
      <c r="B17" s="123" t="str">
        <f>Donnees!$C$27</f>
        <v>Créer les modèles html (pages)</v>
      </c>
      <c r="C17" s="91">
        <v>9</v>
      </c>
      <c r="D17" s="109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1"/>
      <c r="AR17" s="109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1"/>
      <c r="CF17" s="109"/>
      <c r="CG17" s="110"/>
      <c r="CH17" s="110"/>
      <c r="CI17" s="110"/>
      <c r="CJ17" s="119"/>
      <c r="CK17" s="119"/>
      <c r="CL17" s="119"/>
      <c r="CM17" s="119"/>
      <c r="CN17" s="110"/>
      <c r="CO17" s="110"/>
      <c r="CP17" s="110"/>
      <c r="CQ17" s="110"/>
      <c r="CR17" s="119"/>
      <c r="CS17" s="119"/>
      <c r="CT17" s="119"/>
      <c r="CU17" s="119"/>
      <c r="CV17" s="119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1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1"/>
      <c r="FH17" s="109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</row>
    <row r="18" spans="2:203" ht="19.5" customHeight="1" thickBot="1" x14ac:dyDescent="0.3">
      <c r="B18" s="124"/>
      <c r="C18" s="92">
        <v>0</v>
      </c>
      <c r="D18" s="112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4"/>
      <c r="AR18" s="112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  <c r="BY18" s="113"/>
      <c r="BZ18" s="113"/>
      <c r="CA18" s="113"/>
      <c r="CB18" s="113"/>
      <c r="CC18" s="113"/>
      <c r="CD18" s="113"/>
      <c r="CE18" s="114"/>
      <c r="CF18" s="112"/>
      <c r="CG18" s="113"/>
      <c r="CH18" s="113"/>
      <c r="CI18" s="113"/>
      <c r="CJ18" s="113"/>
      <c r="CK18" s="113"/>
      <c r="CL18" s="113"/>
      <c r="CM18" s="113"/>
      <c r="CN18" s="113"/>
      <c r="CO18" s="113"/>
      <c r="CP18" s="113"/>
      <c r="CQ18" s="113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3"/>
      <c r="DK18" s="113"/>
      <c r="DL18" s="113"/>
      <c r="DM18" s="113"/>
      <c r="DN18" s="113"/>
      <c r="DO18" s="113"/>
      <c r="DP18" s="113"/>
      <c r="DQ18" s="113"/>
      <c r="DR18" s="113"/>
      <c r="DS18" s="114"/>
      <c r="DT18" s="112"/>
      <c r="DU18" s="113"/>
      <c r="DV18" s="113"/>
      <c r="DW18" s="113"/>
      <c r="DX18" s="113"/>
      <c r="DY18" s="113"/>
      <c r="DZ18" s="113"/>
      <c r="EA18" s="113"/>
      <c r="EB18" s="113"/>
      <c r="EC18" s="113"/>
      <c r="ED18" s="113"/>
      <c r="EE18" s="113"/>
      <c r="EF18" s="113"/>
      <c r="EG18" s="113"/>
      <c r="EH18" s="113"/>
      <c r="EI18" s="113"/>
      <c r="EJ18" s="113"/>
      <c r="EK18" s="113"/>
      <c r="EL18" s="113"/>
      <c r="EM18" s="113"/>
      <c r="EN18" s="113"/>
      <c r="EO18" s="113"/>
      <c r="EP18" s="113"/>
      <c r="EQ18" s="113"/>
      <c r="ER18" s="113"/>
      <c r="ES18" s="113"/>
      <c r="ET18" s="113"/>
      <c r="EU18" s="113"/>
      <c r="EV18" s="113"/>
      <c r="EW18" s="113"/>
      <c r="EX18" s="113"/>
      <c r="EY18" s="113"/>
      <c r="EZ18" s="113"/>
      <c r="FA18" s="113"/>
      <c r="FB18" s="113"/>
      <c r="FC18" s="113"/>
      <c r="FD18" s="113"/>
      <c r="FE18" s="113"/>
      <c r="FF18" s="113"/>
      <c r="FG18" s="114"/>
      <c r="FH18" s="112"/>
      <c r="FI18" s="113"/>
      <c r="FJ18" s="113"/>
      <c r="FK18" s="113"/>
      <c r="FL18" s="113"/>
      <c r="FM18" s="113"/>
      <c r="FN18" s="113"/>
      <c r="FO18" s="113"/>
      <c r="FP18" s="113"/>
      <c r="FQ18" s="113"/>
      <c r="FR18" s="113"/>
      <c r="FS18" s="113"/>
      <c r="FT18" s="113"/>
      <c r="FU18" s="113"/>
      <c r="FV18" s="113"/>
      <c r="FW18" s="113"/>
      <c r="FX18" s="113"/>
      <c r="FY18" s="113"/>
      <c r="FZ18" s="113"/>
      <c r="GA18" s="113"/>
      <c r="GB18" s="113"/>
      <c r="GC18" s="113"/>
      <c r="GD18" s="113"/>
      <c r="GE18" s="113"/>
      <c r="GF18" s="113"/>
      <c r="GG18" s="113"/>
      <c r="GH18" s="113"/>
      <c r="GI18" s="113"/>
      <c r="GJ18" s="113"/>
      <c r="GK18" s="113"/>
      <c r="GL18" s="113"/>
      <c r="GM18" s="113"/>
      <c r="GN18" s="113"/>
      <c r="GO18" s="113"/>
      <c r="GP18" s="113"/>
      <c r="GQ18" s="113"/>
      <c r="GR18" s="113"/>
      <c r="GS18" s="113"/>
      <c r="GT18" s="113"/>
      <c r="GU18" s="114"/>
    </row>
    <row r="19" spans="2:203" ht="19.5" customHeight="1" x14ac:dyDescent="0.25">
      <c r="B19" s="123" t="str">
        <f>Donnees!$C$28</f>
        <v>Créer l'api nodejs</v>
      </c>
      <c r="C19" s="91">
        <v>9</v>
      </c>
      <c r="D19" s="109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1"/>
      <c r="AR19" s="109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9"/>
      <c r="BE19" s="119"/>
      <c r="BF19" s="119"/>
      <c r="BG19" s="119"/>
      <c r="BH19" s="119"/>
      <c r="BI19" s="119"/>
      <c r="BJ19" s="119"/>
      <c r="BK19" s="119"/>
      <c r="BL19" s="119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1"/>
      <c r="CF19" s="109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1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1"/>
      <c r="FH19" s="109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</row>
    <row r="20" spans="2:203" ht="19.5" customHeight="1" thickBot="1" x14ac:dyDescent="0.3">
      <c r="B20" s="124"/>
      <c r="C20" s="92">
        <v>0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4"/>
      <c r="AR20" s="112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4"/>
      <c r="CF20" s="112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  <c r="DT20" s="112"/>
      <c r="DU20" s="113"/>
      <c r="DV20" s="113"/>
      <c r="DW20" s="113"/>
      <c r="DX20" s="113"/>
      <c r="DY20" s="113"/>
      <c r="DZ20" s="113"/>
      <c r="EA20" s="113"/>
      <c r="EB20" s="113"/>
      <c r="EC20" s="113"/>
      <c r="ED20" s="113"/>
      <c r="EE20" s="113"/>
      <c r="EF20" s="113"/>
      <c r="EG20" s="113"/>
      <c r="EH20" s="113"/>
      <c r="EI20" s="113"/>
      <c r="EJ20" s="113"/>
      <c r="EK20" s="113"/>
      <c r="EL20" s="113"/>
      <c r="EM20" s="113"/>
      <c r="EN20" s="113"/>
      <c r="EO20" s="113"/>
      <c r="EP20" s="113"/>
      <c r="EQ20" s="113"/>
      <c r="ER20" s="113"/>
      <c r="ES20" s="113"/>
      <c r="ET20" s="113"/>
      <c r="EU20" s="113"/>
      <c r="EV20" s="113"/>
      <c r="EW20" s="113"/>
      <c r="EX20" s="113"/>
      <c r="EY20" s="113"/>
      <c r="EZ20" s="113"/>
      <c r="FA20" s="113"/>
      <c r="FB20" s="113"/>
      <c r="FC20" s="113"/>
      <c r="FD20" s="113"/>
      <c r="FE20" s="113"/>
      <c r="FF20" s="113"/>
      <c r="FG20" s="114"/>
      <c r="FH20" s="112"/>
      <c r="FI20" s="113"/>
      <c r="FJ20" s="113"/>
      <c r="FK20" s="113"/>
      <c r="FL20" s="113"/>
      <c r="FM20" s="113"/>
      <c r="FN20" s="113"/>
      <c r="FO20" s="113"/>
      <c r="FP20" s="113"/>
      <c r="FQ20" s="113"/>
      <c r="FR20" s="113"/>
      <c r="FS20" s="113"/>
      <c r="FT20" s="113"/>
      <c r="FU20" s="113"/>
      <c r="FV20" s="113"/>
      <c r="FW20" s="113"/>
      <c r="FX20" s="113"/>
      <c r="FY20" s="113"/>
      <c r="FZ20" s="113"/>
      <c r="GA20" s="113"/>
      <c r="GB20" s="113"/>
      <c r="GC20" s="113"/>
      <c r="GD20" s="113"/>
      <c r="GE20" s="113"/>
      <c r="GF20" s="113"/>
      <c r="GG20" s="113"/>
      <c r="GH20" s="113"/>
      <c r="GI20" s="113"/>
      <c r="GJ20" s="113"/>
      <c r="GK20" s="113"/>
      <c r="GL20" s="113"/>
      <c r="GM20" s="113"/>
      <c r="GN20" s="113"/>
      <c r="GO20" s="113"/>
      <c r="GP20" s="113"/>
      <c r="GQ20" s="113"/>
      <c r="GR20" s="113"/>
      <c r="GS20" s="113"/>
      <c r="GT20" s="113"/>
      <c r="GU20" s="114"/>
    </row>
    <row r="21" spans="2:203" ht="19.5" customHeight="1" x14ac:dyDescent="0.25">
      <c r="B21" s="123" t="str">
        <f>Donnees!$C$29</f>
        <v>Créer le système d'utilisateur</v>
      </c>
      <c r="C21" s="91">
        <v>0</v>
      </c>
      <c r="D21" s="109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1"/>
      <c r="AR21" s="109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1"/>
      <c r="CF21" s="109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1"/>
      <c r="DT21" s="109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1"/>
      <c r="FH21" s="109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1"/>
    </row>
    <row r="22" spans="2:203" ht="19.5" customHeight="1" thickBot="1" x14ac:dyDescent="0.3">
      <c r="B22" s="124"/>
      <c r="C22" s="92">
        <v>0</v>
      </c>
      <c r="D22" s="112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4"/>
      <c r="AR22" s="112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4"/>
      <c r="CF22" s="112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13"/>
      <c r="DO22" s="113"/>
      <c r="DP22" s="113"/>
      <c r="DQ22" s="113"/>
      <c r="DR22" s="113"/>
      <c r="DS22" s="114"/>
      <c r="DT22" s="112"/>
      <c r="DU22" s="113"/>
      <c r="DV22" s="113"/>
      <c r="DW22" s="113"/>
      <c r="DX22" s="113"/>
      <c r="DY22" s="113"/>
      <c r="DZ22" s="113"/>
      <c r="EA22" s="113"/>
      <c r="EB22" s="113"/>
      <c r="EC22" s="113"/>
      <c r="ED22" s="113"/>
      <c r="EE22" s="113"/>
      <c r="EF22" s="113"/>
      <c r="EG22" s="113"/>
      <c r="EH22" s="113"/>
      <c r="EI22" s="113"/>
      <c r="EJ22" s="113"/>
      <c r="EK22" s="113"/>
      <c r="EL22" s="113"/>
      <c r="EM22" s="113"/>
      <c r="EN22" s="113"/>
      <c r="EO22" s="113"/>
      <c r="EP22" s="113"/>
      <c r="EQ22" s="113"/>
      <c r="ER22" s="113"/>
      <c r="ES22" s="113"/>
      <c r="ET22" s="113"/>
      <c r="EU22" s="113"/>
      <c r="EV22" s="113"/>
      <c r="EW22" s="113"/>
      <c r="EX22" s="113"/>
      <c r="EY22" s="113"/>
      <c r="EZ22" s="113"/>
      <c r="FA22" s="113"/>
      <c r="FB22" s="113"/>
      <c r="FC22" s="113"/>
      <c r="FD22" s="113"/>
      <c r="FE22" s="113"/>
      <c r="FF22" s="113"/>
      <c r="FG22" s="114"/>
      <c r="FH22" s="112"/>
      <c r="FI22" s="113"/>
      <c r="FJ22" s="113"/>
      <c r="FK22" s="113"/>
      <c r="FL22" s="113"/>
      <c r="FM22" s="113"/>
      <c r="FN22" s="113"/>
      <c r="FO22" s="113"/>
      <c r="FP22" s="113"/>
      <c r="FQ22" s="113"/>
      <c r="FR22" s="113"/>
      <c r="FS22" s="113"/>
      <c r="FT22" s="113"/>
      <c r="FU22" s="113"/>
      <c r="FV22" s="113"/>
      <c r="FW22" s="113"/>
      <c r="FX22" s="113"/>
      <c r="FY22" s="113"/>
      <c r="FZ22" s="113"/>
      <c r="GA22" s="113"/>
      <c r="GB22" s="113"/>
      <c r="GC22" s="113"/>
      <c r="GD22" s="113"/>
      <c r="GE22" s="113"/>
      <c r="GF22" s="113"/>
      <c r="GG22" s="113"/>
      <c r="GH22" s="113"/>
      <c r="GI22" s="113"/>
      <c r="GJ22" s="113"/>
      <c r="GK22" s="113"/>
      <c r="GL22" s="113"/>
      <c r="GM22" s="113"/>
      <c r="GN22" s="113"/>
      <c r="GO22" s="113"/>
      <c r="GP22" s="113"/>
      <c r="GQ22" s="113"/>
      <c r="GR22" s="113"/>
      <c r="GS22" s="113"/>
      <c r="GT22" s="113"/>
      <c r="GU22" s="114"/>
    </row>
    <row r="23" spans="2:203" ht="19.5" customHeight="1" x14ac:dyDescent="0.25">
      <c r="B23" s="123" t="str">
        <f>Donnees!$C$30</f>
        <v>Implémenter l'application dans un raspberry</v>
      </c>
      <c r="C23" s="91">
        <v>0</v>
      </c>
      <c r="D23" s="109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1"/>
      <c r="AR23" s="109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1"/>
      <c r="CF23" s="109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1"/>
      <c r="DT23" s="109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1"/>
      <c r="FH23" s="109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1"/>
    </row>
    <row r="24" spans="2:203" ht="19.5" customHeight="1" thickBot="1" x14ac:dyDescent="0.3">
      <c r="B24" s="124"/>
      <c r="C24" s="92">
        <v>0</v>
      </c>
      <c r="D24" s="112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4"/>
      <c r="AR24" s="112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4"/>
      <c r="CF24" s="112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13"/>
      <c r="DO24" s="113"/>
      <c r="DP24" s="113"/>
      <c r="DQ24" s="113"/>
      <c r="DR24" s="113"/>
      <c r="DS24" s="114"/>
      <c r="DT24" s="112"/>
      <c r="DU24" s="113"/>
      <c r="DV24" s="113"/>
      <c r="DW24" s="113"/>
      <c r="DX24" s="113"/>
      <c r="DY24" s="113"/>
      <c r="DZ24" s="113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4"/>
      <c r="FH24" s="112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GO24" s="113"/>
      <c r="GP24" s="113"/>
      <c r="GQ24" s="113"/>
      <c r="GR24" s="113"/>
      <c r="GS24" s="113"/>
      <c r="GT24" s="113"/>
      <c r="GU24" s="114"/>
    </row>
    <row r="25" spans="2:203" ht="19.5" customHeight="1" x14ac:dyDescent="0.25">
      <c r="B25" s="123" t="str">
        <f>Donnees!$C$31</f>
        <v>Partager le raspberry</v>
      </c>
      <c r="C25" s="91">
        <v>0</v>
      </c>
      <c r="D25" s="109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1"/>
      <c r="AR25" s="109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1"/>
      <c r="CF25" s="109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1"/>
      <c r="DT25" s="109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1"/>
      <c r="FH25" s="109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1"/>
    </row>
    <row r="26" spans="2:203" ht="19.5" customHeight="1" thickBot="1" x14ac:dyDescent="0.3">
      <c r="B26" s="124"/>
      <c r="C26" s="92">
        <v>0</v>
      </c>
      <c r="D26" s="112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4"/>
      <c r="AR26" s="112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4"/>
      <c r="CF26" s="112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13"/>
      <c r="DO26" s="113"/>
      <c r="DP26" s="113"/>
      <c r="DQ26" s="113"/>
      <c r="DR26" s="113"/>
      <c r="DS26" s="114"/>
      <c r="DT26" s="112"/>
      <c r="DU26" s="113"/>
      <c r="DV26" s="113"/>
      <c r="DW26" s="113"/>
      <c r="DX26" s="113"/>
      <c r="DY26" s="113"/>
      <c r="DZ26" s="113"/>
      <c r="EA26" s="113"/>
      <c r="EB26" s="113"/>
      <c r="EC26" s="113"/>
      <c r="ED26" s="113"/>
      <c r="EE26" s="113"/>
      <c r="EF26" s="113"/>
      <c r="EG26" s="113"/>
      <c r="EH26" s="113"/>
      <c r="EI26" s="113"/>
      <c r="EJ26" s="113"/>
      <c r="EK26" s="113"/>
      <c r="EL26" s="113"/>
      <c r="EM26" s="113"/>
      <c r="EN26" s="113"/>
      <c r="EO26" s="113"/>
      <c r="EP26" s="113"/>
      <c r="EQ26" s="113"/>
      <c r="ER26" s="113"/>
      <c r="ES26" s="113"/>
      <c r="ET26" s="113"/>
      <c r="EU26" s="113"/>
      <c r="EV26" s="113"/>
      <c r="EW26" s="113"/>
      <c r="EX26" s="113"/>
      <c r="EY26" s="113"/>
      <c r="EZ26" s="113"/>
      <c r="FA26" s="113"/>
      <c r="FB26" s="113"/>
      <c r="FC26" s="113"/>
      <c r="FD26" s="113"/>
      <c r="FE26" s="113"/>
      <c r="FF26" s="113"/>
      <c r="FG26" s="114"/>
      <c r="FH26" s="112"/>
      <c r="FI26" s="113"/>
      <c r="FJ26" s="113"/>
      <c r="FK26" s="113"/>
      <c r="FL26" s="113"/>
      <c r="FM26" s="113"/>
      <c r="FN26" s="113"/>
      <c r="FO26" s="113"/>
      <c r="FP26" s="113"/>
      <c r="FQ26" s="113"/>
      <c r="FR26" s="113"/>
      <c r="FS26" s="113"/>
      <c r="FT26" s="113"/>
      <c r="FU26" s="113"/>
      <c r="FV26" s="113"/>
      <c r="FW26" s="113"/>
      <c r="FX26" s="113"/>
      <c r="FY26" s="113"/>
      <c r="FZ26" s="113"/>
      <c r="GA26" s="113"/>
      <c r="GB26" s="113"/>
      <c r="GC26" s="113"/>
      <c r="GD26" s="113"/>
      <c r="GE26" s="113"/>
      <c r="GF26" s="113"/>
      <c r="GG26" s="113"/>
      <c r="GH26" s="113"/>
      <c r="GI26" s="113"/>
      <c r="GJ26" s="113"/>
      <c r="GK26" s="113"/>
      <c r="GL26" s="113"/>
      <c r="GM26" s="113"/>
      <c r="GN26" s="113"/>
      <c r="GO26" s="113"/>
      <c r="GP26" s="113"/>
      <c r="GQ26" s="113"/>
      <c r="GR26" s="113"/>
      <c r="GS26" s="113"/>
      <c r="GT26" s="113"/>
      <c r="GU26" s="114"/>
    </row>
    <row r="27" spans="2:203" ht="19.5" customHeight="1" x14ac:dyDescent="0.25">
      <c r="B27" s="123" t="str">
        <f>Donnees!$C$32</f>
        <v>Théorie</v>
      </c>
      <c r="C27" s="91">
        <v>36</v>
      </c>
      <c r="D27" s="109"/>
      <c r="E27" s="110"/>
      <c r="F27" s="110"/>
      <c r="G27" s="110"/>
      <c r="H27" s="110"/>
      <c r="I27" s="110"/>
      <c r="J27" s="110"/>
      <c r="K27" s="110"/>
      <c r="L27" s="119"/>
      <c r="M27" s="119"/>
      <c r="N27" s="119"/>
      <c r="O27" s="119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9"/>
      <c r="AD27" s="119"/>
      <c r="AE27" s="119"/>
      <c r="AF27" s="119"/>
      <c r="AG27" s="119"/>
      <c r="AH27" s="119"/>
      <c r="AI27" s="119"/>
      <c r="AJ27" s="119"/>
      <c r="AK27" s="110"/>
      <c r="AL27" s="110"/>
      <c r="AM27" s="110"/>
      <c r="AN27" s="110"/>
      <c r="AO27" s="110"/>
      <c r="AP27" s="110"/>
      <c r="AQ27" s="111"/>
      <c r="AR27" s="109"/>
      <c r="AS27" s="110"/>
      <c r="AT27" s="110"/>
      <c r="AU27" s="110"/>
      <c r="AV27" s="110"/>
      <c r="AW27" s="110"/>
      <c r="AX27" s="110"/>
      <c r="AY27" s="110"/>
      <c r="AZ27" s="119"/>
      <c r="BA27" s="119"/>
      <c r="BB27" s="119"/>
      <c r="BC27" s="119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9"/>
      <c r="BR27" s="119"/>
      <c r="BS27" s="119"/>
      <c r="BT27" s="119"/>
      <c r="BU27" s="119"/>
      <c r="BV27" s="119"/>
      <c r="BW27" s="119"/>
      <c r="BX27" s="119"/>
      <c r="BY27" s="110"/>
      <c r="BZ27" s="110"/>
      <c r="CA27" s="110"/>
      <c r="CB27" s="110"/>
      <c r="CC27" s="110"/>
      <c r="CD27" s="110"/>
      <c r="CE27" s="111"/>
      <c r="CF27" s="109"/>
      <c r="CG27" s="110"/>
      <c r="CH27" s="110"/>
      <c r="CI27" s="110"/>
      <c r="CJ27" s="110"/>
      <c r="CK27" s="110"/>
      <c r="CL27" s="110"/>
      <c r="CM27" s="110"/>
      <c r="CN27" s="119"/>
      <c r="CO27" s="119"/>
      <c r="CP27" s="119"/>
      <c r="CQ27" s="119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9"/>
      <c r="DF27" s="119"/>
      <c r="DG27" s="119"/>
      <c r="DH27" s="119"/>
      <c r="DI27" s="119"/>
      <c r="DJ27" s="119"/>
      <c r="DK27" s="119"/>
      <c r="DL27" s="119"/>
      <c r="DM27" s="110"/>
      <c r="DN27" s="110"/>
      <c r="DO27" s="110"/>
      <c r="DP27" s="110"/>
      <c r="DQ27" s="110"/>
      <c r="DR27" s="110"/>
      <c r="DS27" s="111"/>
      <c r="DT27" s="109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1"/>
      <c r="FH27" s="109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1"/>
    </row>
    <row r="28" spans="2:203" ht="19.5" customHeight="1" thickBot="1" x14ac:dyDescent="0.3">
      <c r="B28" s="124"/>
      <c r="C28" s="92">
        <v>4</v>
      </c>
      <c r="D28" s="112"/>
      <c r="E28" s="113"/>
      <c r="F28" s="113"/>
      <c r="G28" s="113"/>
      <c r="H28" s="113"/>
      <c r="I28" s="113"/>
      <c r="J28" s="113"/>
      <c r="K28" s="113"/>
      <c r="L28" s="133"/>
      <c r="M28" s="133"/>
      <c r="N28" s="133"/>
      <c r="O28" s="13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4"/>
      <c r="AR28" s="112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4"/>
      <c r="CF28" s="112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13"/>
      <c r="DO28" s="113"/>
      <c r="DP28" s="113"/>
      <c r="DQ28" s="113"/>
      <c r="DR28" s="113"/>
      <c r="DS28" s="114"/>
      <c r="DT28" s="112"/>
      <c r="DU28" s="113"/>
      <c r="DV28" s="113"/>
      <c r="DW28" s="113"/>
      <c r="DX28" s="113"/>
      <c r="DY28" s="113"/>
      <c r="DZ28" s="113"/>
      <c r="EA28" s="113"/>
      <c r="EB28" s="113"/>
      <c r="EC28" s="113"/>
      <c r="ED28" s="113"/>
      <c r="EE28" s="113"/>
      <c r="EF28" s="113"/>
      <c r="EG28" s="113"/>
      <c r="EH28" s="113"/>
      <c r="EI28" s="113"/>
      <c r="EJ28" s="113"/>
      <c r="EK28" s="113"/>
      <c r="EL28" s="113"/>
      <c r="EM28" s="113"/>
      <c r="EN28" s="113"/>
      <c r="EO28" s="113"/>
      <c r="EP28" s="113"/>
      <c r="EQ28" s="113"/>
      <c r="ER28" s="113"/>
      <c r="ES28" s="113"/>
      <c r="ET28" s="113"/>
      <c r="EU28" s="113"/>
      <c r="EV28" s="113"/>
      <c r="EW28" s="113"/>
      <c r="EX28" s="113"/>
      <c r="EY28" s="113"/>
      <c r="EZ28" s="113"/>
      <c r="FA28" s="113"/>
      <c r="FB28" s="113"/>
      <c r="FC28" s="113"/>
      <c r="FD28" s="113"/>
      <c r="FE28" s="113"/>
      <c r="FF28" s="113"/>
      <c r="FG28" s="114"/>
      <c r="FH28" s="112"/>
      <c r="FI28" s="113"/>
      <c r="FJ28" s="113"/>
      <c r="FK28" s="113"/>
      <c r="FL28" s="113"/>
      <c r="FM28" s="113"/>
      <c r="FN28" s="113"/>
      <c r="FO28" s="113"/>
      <c r="FP28" s="113"/>
      <c r="FQ28" s="113"/>
      <c r="FR28" s="113"/>
      <c r="FS28" s="113"/>
      <c r="FT28" s="113"/>
      <c r="FU28" s="113"/>
      <c r="FV28" s="113"/>
      <c r="FW28" s="113"/>
      <c r="FX28" s="113"/>
      <c r="FY28" s="113"/>
      <c r="FZ28" s="113"/>
      <c r="GA28" s="113"/>
      <c r="GB28" s="113"/>
      <c r="GC28" s="113"/>
      <c r="GD28" s="113"/>
      <c r="GE28" s="113"/>
      <c r="GF28" s="113"/>
      <c r="GG28" s="113"/>
      <c r="GH28" s="113"/>
      <c r="GI28" s="113"/>
      <c r="GJ28" s="113"/>
      <c r="GK28" s="113"/>
      <c r="GL28" s="113"/>
      <c r="GM28" s="113"/>
      <c r="GN28" s="113"/>
      <c r="GO28" s="113"/>
      <c r="GP28" s="113"/>
      <c r="GQ28" s="113"/>
      <c r="GR28" s="113"/>
      <c r="GS28" s="113"/>
      <c r="GT28" s="113"/>
      <c r="GU28" s="114"/>
    </row>
    <row r="29" spans="2:203" ht="19.5" customHeight="1" x14ac:dyDescent="0.25">
      <c r="B29" s="123" t="str">
        <f>Donnees!$C$33</f>
        <v>Thymio</v>
      </c>
      <c r="C29" s="91">
        <v>11</v>
      </c>
      <c r="D29" s="109"/>
      <c r="E29" s="110"/>
      <c r="F29" s="110"/>
      <c r="G29" s="110"/>
      <c r="H29" s="119"/>
      <c r="I29" s="119"/>
      <c r="J29" s="119"/>
      <c r="K29" s="119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1"/>
      <c r="AR29" s="109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9"/>
      <c r="BZ29" s="119"/>
      <c r="CA29" s="119"/>
      <c r="CB29" s="119"/>
      <c r="CC29" s="119"/>
      <c r="CD29" s="119"/>
      <c r="CE29" s="120"/>
      <c r="CF29" s="109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1"/>
      <c r="DT29" s="109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1"/>
      <c r="FH29" s="109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1"/>
    </row>
    <row r="30" spans="2:203" ht="19.5" customHeight="1" thickBot="1" x14ac:dyDescent="0.3">
      <c r="B30" s="124"/>
      <c r="C30" s="92">
        <v>4</v>
      </c>
      <c r="D30" s="112"/>
      <c r="E30" s="113"/>
      <c r="F30" s="113"/>
      <c r="G30" s="113"/>
      <c r="H30" s="133"/>
      <c r="I30" s="133"/>
      <c r="J30" s="133"/>
      <c r="K30" s="13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4"/>
      <c r="AR30" s="112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4"/>
      <c r="CF30" s="112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13"/>
      <c r="DO30" s="113"/>
      <c r="DP30" s="113"/>
      <c r="DQ30" s="113"/>
      <c r="DR30" s="113"/>
      <c r="DS30" s="114"/>
      <c r="DT30" s="112"/>
      <c r="DU30" s="113"/>
      <c r="DV30" s="113"/>
      <c r="DW30" s="113"/>
      <c r="DX30" s="113"/>
      <c r="DY30" s="113"/>
      <c r="DZ30" s="113"/>
      <c r="EA30" s="113"/>
      <c r="EB30" s="113"/>
      <c r="EC30" s="113"/>
      <c r="ED30" s="113"/>
      <c r="EE30" s="113"/>
      <c r="EF30" s="113"/>
      <c r="EG30" s="113"/>
      <c r="EH30" s="113"/>
      <c r="EI30" s="113"/>
      <c r="EJ30" s="113"/>
      <c r="EK30" s="113"/>
      <c r="EL30" s="113"/>
      <c r="EM30" s="113"/>
      <c r="EN30" s="113"/>
      <c r="EO30" s="113"/>
      <c r="EP30" s="113"/>
      <c r="EQ30" s="113"/>
      <c r="ER30" s="113"/>
      <c r="ES30" s="113"/>
      <c r="ET30" s="113"/>
      <c r="EU30" s="113"/>
      <c r="EV30" s="113"/>
      <c r="EW30" s="113"/>
      <c r="EX30" s="113"/>
      <c r="EY30" s="113"/>
      <c r="EZ30" s="113"/>
      <c r="FA30" s="113"/>
      <c r="FB30" s="113"/>
      <c r="FC30" s="113"/>
      <c r="FD30" s="113"/>
      <c r="FE30" s="113"/>
      <c r="FF30" s="113"/>
      <c r="FG30" s="114"/>
      <c r="FH30" s="112"/>
      <c r="FI30" s="113"/>
      <c r="FJ30" s="113"/>
      <c r="FK30" s="113"/>
      <c r="FL30" s="113"/>
      <c r="FM30" s="113"/>
      <c r="FN30" s="113"/>
      <c r="FO30" s="113"/>
      <c r="FP30" s="113"/>
      <c r="FQ30" s="113"/>
      <c r="FR30" s="113"/>
      <c r="FS30" s="113"/>
      <c r="FT30" s="113"/>
      <c r="FU30" s="113"/>
      <c r="FV30" s="113"/>
      <c r="FW30" s="113"/>
      <c r="FX30" s="113"/>
      <c r="FY30" s="113"/>
      <c r="FZ30" s="113"/>
      <c r="GA30" s="113"/>
      <c r="GB30" s="113"/>
      <c r="GC30" s="113"/>
      <c r="GD30" s="113"/>
      <c r="GE30" s="113"/>
      <c r="GF30" s="113"/>
      <c r="GG30" s="113"/>
      <c r="GH30" s="113"/>
      <c r="GI30" s="113"/>
      <c r="GJ30" s="113"/>
      <c r="GK30" s="113"/>
      <c r="GL30" s="113"/>
      <c r="GM30" s="113"/>
      <c r="GN30" s="113"/>
      <c r="GO30" s="113"/>
      <c r="GP30" s="113"/>
      <c r="GQ30" s="113"/>
      <c r="GR30" s="113"/>
      <c r="GS30" s="113"/>
      <c r="GT30" s="113"/>
      <c r="GU30" s="114"/>
    </row>
    <row r="31" spans="2:203" ht="19.5" customHeight="1" x14ac:dyDescent="0.25">
      <c r="B31" s="123" t="str">
        <f>Donnees!$C$34</f>
        <v>Fin du DemoMot</v>
      </c>
      <c r="C31" s="91">
        <v>9</v>
      </c>
      <c r="D31" s="109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1"/>
      <c r="AR31" s="109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1"/>
      <c r="CF31" s="109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1"/>
      <c r="DT31" s="109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1"/>
      <c r="FH31" s="109"/>
      <c r="FI31" s="110"/>
      <c r="FJ31" s="110"/>
      <c r="FK31" s="110"/>
      <c r="FL31" s="110"/>
      <c r="FM31" s="110"/>
      <c r="FN31" s="110"/>
      <c r="FO31" s="119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9"/>
      <c r="GO31" s="119"/>
      <c r="GP31" s="119"/>
      <c r="GQ31" s="119"/>
      <c r="GR31" s="119"/>
      <c r="GS31" s="119"/>
      <c r="GT31" s="119"/>
      <c r="GU31" s="120"/>
    </row>
    <row r="32" spans="2:203" ht="19.5" customHeight="1" thickBot="1" x14ac:dyDescent="0.3">
      <c r="B32" s="124"/>
      <c r="C32" s="92">
        <v>0</v>
      </c>
      <c r="D32" s="112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4"/>
      <c r="AR32" s="112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4"/>
      <c r="CF32" s="112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13"/>
      <c r="DO32" s="113"/>
      <c r="DP32" s="113"/>
      <c r="DQ32" s="113"/>
      <c r="DR32" s="113"/>
      <c r="DS32" s="114"/>
      <c r="DT32" s="112"/>
      <c r="DU32" s="113"/>
      <c r="DV32" s="113"/>
      <c r="DW32" s="113"/>
      <c r="DX32" s="113"/>
      <c r="DY32" s="113"/>
      <c r="DZ32" s="113"/>
      <c r="EA32" s="113"/>
      <c r="EB32" s="113"/>
      <c r="EC32" s="113"/>
      <c r="ED32" s="113"/>
      <c r="EE32" s="113"/>
      <c r="EF32" s="113"/>
      <c r="EG32" s="113"/>
      <c r="EH32" s="113"/>
      <c r="EI32" s="113"/>
      <c r="EJ32" s="113"/>
      <c r="EK32" s="113"/>
      <c r="EL32" s="113"/>
      <c r="EM32" s="113"/>
      <c r="EN32" s="113"/>
      <c r="EO32" s="113"/>
      <c r="EP32" s="113"/>
      <c r="EQ32" s="113"/>
      <c r="ER32" s="113"/>
      <c r="ES32" s="113"/>
      <c r="ET32" s="113"/>
      <c r="EU32" s="113"/>
      <c r="EV32" s="113"/>
      <c r="EW32" s="113"/>
      <c r="EX32" s="113"/>
      <c r="EY32" s="113"/>
      <c r="EZ32" s="113"/>
      <c r="FA32" s="113"/>
      <c r="FB32" s="113"/>
      <c r="FC32" s="113"/>
      <c r="FD32" s="113"/>
      <c r="FE32" s="113"/>
      <c r="FF32" s="113"/>
      <c r="FG32" s="114"/>
      <c r="FH32" s="112"/>
      <c r="FI32" s="113"/>
      <c r="FJ32" s="113"/>
      <c r="FK32" s="113"/>
      <c r="FL32" s="113"/>
      <c r="FM32" s="113"/>
      <c r="FN32" s="113"/>
      <c r="FO32" s="113"/>
      <c r="FP32" s="113"/>
      <c r="FQ32" s="113"/>
      <c r="FR32" s="113"/>
      <c r="FS32" s="113"/>
      <c r="FT32" s="113"/>
      <c r="FU32" s="113"/>
      <c r="FV32" s="113"/>
      <c r="FW32" s="113"/>
      <c r="FX32" s="113"/>
      <c r="FY32" s="113"/>
      <c r="FZ32" s="113"/>
      <c r="GA32" s="113"/>
      <c r="GB32" s="113"/>
      <c r="GC32" s="113"/>
      <c r="GD32" s="113"/>
      <c r="GE32" s="113"/>
      <c r="GF32" s="113"/>
      <c r="GG32" s="113"/>
      <c r="GH32" s="113"/>
      <c r="GI32" s="113"/>
      <c r="GJ32" s="113"/>
      <c r="GK32" s="113"/>
      <c r="GL32" s="113"/>
      <c r="GM32" s="113"/>
      <c r="GN32" s="113"/>
      <c r="GO32" s="113"/>
      <c r="GP32" s="113"/>
      <c r="GQ32" s="113"/>
      <c r="GR32" s="113"/>
      <c r="GS32" s="113"/>
      <c r="GT32" s="113"/>
      <c r="GU32" s="114"/>
    </row>
    <row r="33" spans="2:203" ht="19.5" customHeight="1" x14ac:dyDescent="0.25">
      <c r="B33" s="123" t="str">
        <f>Donnees!$C$35</f>
        <v>Présentation</v>
      </c>
      <c r="C33" s="91">
        <v>24</v>
      </c>
      <c r="D33" s="109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1"/>
      <c r="AR33" s="109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1"/>
      <c r="CF33" s="109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1"/>
      <c r="DT33" s="109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1"/>
      <c r="FH33" s="109"/>
      <c r="FI33" s="110"/>
      <c r="FJ33" s="110"/>
      <c r="FK33" s="110"/>
      <c r="FL33" s="110"/>
      <c r="FM33" s="110"/>
      <c r="FN33" s="110"/>
      <c r="FO33" s="110"/>
      <c r="FP33" s="119"/>
      <c r="FQ33" s="119"/>
      <c r="FR33" s="119"/>
      <c r="FS33" s="119"/>
      <c r="FT33" s="119"/>
      <c r="FU33" s="119"/>
      <c r="FV33" s="119"/>
      <c r="FW33" s="119"/>
      <c r="FX33" s="119"/>
      <c r="FY33" s="119"/>
      <c r="FZ33" s="119"/>
      <c r="GA33" s="119"/>
      <c r="GB33" s="119"/>
      <c r="GC33" s="119"/>
      <c r="GD33" s="119"/>
      <c r="GE33" s="119"/>
      <c r="GF33" s="119"/>
      <c r="GG33" s="119"/>
      <c r="GH33" s="119"/>
      <c r="GI33" s="119"/>
      <c r="GJ33" s="119"/>
      <c r="GK33" s="119"/>
      <c r="GL33" s="119"/>
      <c r="GM33" s="119"/>
      <c r="GN33" s="110"/>
      <c r="GO33" s="110"/>
      <c r="GP33" s="110"/>
      <c r="GQ33" s="110"/>
      <c r="GR33" s="110"/>
      <c r="GS33" s="110"/>
      <c r="GT33" s="110"/>
      <c r="GU33" s="111"/>
    </row>
    <row r="34" spans="2:203" ht="19.5" customHeight="1" thickBot="1" x14ac:dyDescent="0.3">
      <c r="B34" s="124"/>
      <c r="C34" s="92">
        <v>0</v>
      </c>
      <c r="D34" s="112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4"/>
      <c r="AR34" s="112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4"/>
      <c r="CF34" s="112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13"/>
      <c r="DO34" s="113"/>
      <c r="DP34" s="113"/>
      <c r="DQ34" s="113"/>
      <c r="DR34" s="113"/>
      <c r="DS34" s="114"/>
      <c r="DT34" s="112"/>
      <c r="DU34" s="113"/>
      <c r="DV34" s="113"/>
      <c r="DW34" s="113"/>
      <c r="DX34" s="113"/>
      <c r="DY34" s="113"/>
      <c r="DZ34" s="113"/>
      <c r="EA34" s="113"/>
      <c r="EB34" s="113"/>
      <c r="EC34" s="113"/>
      <c r="ED34" s="113"/>
      <c r="EE34" s="113"/>
      <c r="EF34" s="113"/>
      <c r="EG34" s="113"/>
      <c r="EH34" s="113"/>
      <c r="EI34" s="113"/>
      <c r="EJ34" s="113"/>
      <c r="EK34" s="113"/>
      <c r="EL34" s="113"/>
      <c r="EM34" s="113"/>
      <c r="EN34" s="113"/>
      <c r="EO34" s="113"/>
      <c r="EP34" s="113"/>
      <c r="EQ34" s="113"/>
      <c r="ER34" s="113"/>
      <c r="ES34" s="113"/>
      <c r="ET34" s="113"/>
      <c r="EU34" s="113"/>
      <c r="EV34" s="113"/>
      <c r="EW34" s="113"/>
      <c r="EX34" s="113"/>
      <c r="EY34" s="113"/>
      <c r="EZ34" s="113"/>
      <c r="FA34" s="113"/>
      <c r="FB34" s="113"/>
      <c r="FC34" s="113"/>
      <c r="FD34" s="113"/>
      <c r="FE34" s="113"/>
      <c r="FF34" s="113"/>
      <c r="FG34" s="114"/>
      <c r="FH34" s="112"/>
      <c r="FI34" s="113"/>
      <c r="FJ34" s="113"/>
      <c r="FK34" s="113"/>
      <c r="FL34" s="113"/>
      <c r="FM34" s="113"/>
      <c r="FN34" s="113"/>
      <c r="FO34" s="113"/>
      <c r="FP34" s="113"/>
      <c r="FQ34" s="113"/>
      <c r="FR34" s="113"/>
      <c r="FS34" s="113"/>
      <c r="FT34" s="113"/>
      <c r="FU34" s="113"/>
      <c r="FV34" s="113"/>
      <c r="FW34" s="113"/>
      <c r="FX34" s="113"/>
      <c r="FY34" s="113"/>
      <c r="FZ34" s="113"/>
      <c r="GA34" s="113"/>
      <c r="GB34" s="113"/>
      <c r="GC34" s="113"/>
      <c r="GD34" s="113"/>
      <c r="GE34" s="113"/>
      <c r="GF34" s="113"/>
      <c r="GG34" s="113"/>
      <c r="GH34" s="113"/>
      <c r="GI34" s="113"/>
      <c r="GJ34" s="113"/>
      <c r="GK34" s="113"/>
      <c r="GL34" s="113"/>
      <c r="GM34" s="113"/>
      <c r="GN34" s="113"/>
      <c r="GO34" s="113"/>
      <c r="GP34" s="113"/>
      <c r="GQ34" s="113"/>
      <c r="GR34" s="113"/>
      <c r="GS34" s="113"/>
      <c r="GT34" s="113"/>
      <c r="GU34" s="114"/>
    </row>
    <row r="35" spans="2:203" ht="19.5" customHeight="1" x14ac:dyDescent="0.25">
      <c r="B35" s="123" t="str">
        <f>Donnees!$C$36</f>
        <v>Rapport</v>
      </c>
      <c r="C35" s="91">
        <v>7</v>
      </c>
      <c r="D35" s="109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1"/>
      <c r="AR35" s="109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1"/>
      <c r="CF35" s="109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9"/>
      <c r="DN35" s="119"/>
      <c r="DO35" s="119"/>
      <c r="DP35" s="119"/>
      <c r="DQ35" s="119"/>
      <c r="DR35" s="119"/>
      <c r="DS35" s="120"/>
      <c r="DT35" s="109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1"/>
      <c r="FH35" s="109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1"/>
    </row>
    <row r="36" spans="2:203" ht="19.5" customHeight="1" thickBot="1" x14ac:dyDescent="0.3">
      <c r="B36" s="124"/>
      <c r="C36" s="92">
        <v>0</v>
      </c>
      <c r="D36" s="112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4"/>
      <c r="AR36" s="112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4"/>
      <c r="CF36" s="112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13"/>
      <c r="DO36" s="113"/>
      <c r="DP36" s="113"/>
      <c r="DQ36" s="113"/>
      <c r="DR36" s="113"/>
      <c r="DS36" s="114"/>
      <c r="DT36" s="112"/>
      <c r="DU36" s="113"/>
      <c r="DV36" s="113"/>
      <c r="DW36" s="113"/>
      <c r="DX36" s="113"/>
      <c r="DY36" s="113"/>
      <c r="DZ36" s="113"/>
      <c r="EA36" s="113"/>
      <c r="EB36" s="113"/>
      <c r="EC36" s="113"/>
      <c r="ED36" s="113"/>
      <c r="EE36" s="113"/>
      <c r="EF36" s="113"/>
      <c r="EG36" s="113"/>
      <c r="EH36" s="113"/>
      <c r="EI36" s="113"/>
      <c r="EJ36" s="113"/>
      <c r="EK36" s="113"/>
      <c r="EL36" s="113"/>
      <c r="EM36" s="113"/>
      <c r="EN36" s="113"/>
      <c r="EO36" s="113"/>
      <c r="EP36" s="113"/>
      <c r="EQ36" s="113"/>
      <c r="ER36" s="113"/>
      <c r="ES36" s="113"/>
      <c r="ET36" s="113"/>
      <c r="EU36" s="113"/>
      <c r="EV36" s="113"/>
      <c r="EW36" s="113"/>
      <c r="EX36" s="113"/>
      <c r="EY36" s="113"/>
      <c r="EZ36" s="113"/>
      <c r="FA36" s="113"/>
      <c r="FB36" s="113"/>
      <c r="FC36" s="113"/>
      <c r="FD36" s="113"/>
      <c r="FE36" s="113"/>
      <c r="FF36" s="113"/>
      <c r="FG36" s="114"/>
      <c r="FH36" s="112"/>
      <c r="FI36" s="113"/>
      <c r="FJ36" s="113"/>
      <c r="FK36" s="113"/>
      <c r="FL36" s="113"/>
      <c r="FM36" s="113"/>
      <c r="FN36" s="113"/>
      <c r="FO36" s="113"/>
      <c r="FP36" s="113"/>
      <c r="FQ36" s="113"/>
      <c r="FR36" s="113"/>
      <c r="FS36" s="113"/>
      <c r="FT36" s="113"/>
      <c r="FU36" s="113"/>
      <c r="FV36" s="113"/>
      <c r="FW36" s="113"/>
      <c r="FX36" s="113"/>
      <c r="FY36" s="113"/>
      <c r="FZ36" s="113"/>
      <c r="GA36" s="113"/>
      <c r="GB36" s="113"/>
      <c r="GC36" s="113"/>
      <c r="GD36" s="113"/>
      <c r="GE36" s="113"/>
      <c r="GF36" s="113"/>
      <c r="GG36" s="113"/>
      <c r="GH36" s="113"/>
      <c r="GI36" s="113"/>
      <c r="GJ36" s="113"/>
      <c r="GK36" s="113"/>
      <c r="GL36" s="113"/>
      <c r="GM36" s="113"/>
      <c r="GN36" s="113"/>
      <c r="GO36" s="113"/>
      <c r="GP36" s="113"/>
      <c r="GQ36" s="113"/>
      <c r="GR36" s="113"/>
      <c r="GS36" s="113"/>
      <c r="GT36" s="113"/>
      <c r="GU36" s="114"/>
    </row>
    <row r="37" spans="2:203" ht="19.5" customHeight="1" x14ac:dyDescent="0.25">
      <c r="B37" s="123" t="str">
        <f>Donnees!$C$37</f>
        <v>Rattrapage</v>
      </c>
      <c r="C37" s="91">
        <v>4</v>
      </c>
      <c r="D37" s="109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1"/>
      <c r="AR37" s="109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1"/>
      <c r="CF37" s="118"/>
      <c r="CG37" s="119"/>
      <c r="CH37" s="119"/>
      <c r="CI37" s="119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1"/>
      <c r="DT37" s="109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1"/>
      <c r="FH37" s="109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1"/>
    </row>
    <row r="38" spans="2:203" ht="19.5" customHeight="1" thickBot="1" x14ac:dyDescent="0.3">
      <c r="B38" s="124"/>
      <c r="C38" s="92">
        <v>0</v>
      </c>
      <c r="D38" s="112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4"/>
      <c r="AR38" s="112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4"/>
      <c r="CF38" s="112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13"/>
      <c r="DO38" s="113"/>
      <c r="DP38" s="113"/>
      <c r="DQ38" s="113"/>
      <c r="DR38" s="113"/>
      <c r="DS38" s="114"/>
      <c r="DT38" s="112"/>
      <c r="DU38" s="113"/>
      <c r="DV38" s="113"/>
      <c r="DW38" s="113"/>
      <c r="DX38" s="113"/>
      <c r="DY38" s="113"/>
      <c r="DZ38" s="113"/>
      <c r="EA38" s="113"/>
      <c r="EB38" s="113"/>
      <c r="EC38" s="113"/>
      <c r="ED38" s="113"/>
      <c r="EE38" s="113"/>
      <c r="EF38" s="113"/>
      <c r="EG38" s="113"/>
      <c r="EH38" s="113"/>
      <c r="EI38" s="113"/>
      <c r="EJ38" s="113"/>
      <c r="EK38" s="113"/>
      <c r="EL38" s="113"/>
      <c r="EM38" s="113"/>
      <c r="EN38" s="113"/>
      <c r="EO38" s="113"/>
      <c r="EP38" s="113"/>
      <c r="EQ38" s="113"/>
      <c r="ER38" s="113"/>
      <c r="ES38" s="113"/>
      <c r="ET38" s="113"/>
      <c r="EU38" s="113"/>
      <c r="EV38" s="113"/>
      <c r="EW38" s="113"/>
      <c r="EX38" s="113"/>
      <c r="EY38" s="113"/>
      <c r="EZ38" s="113"/>
      <c r="FA38" s="113"/>
      <c r="FB38" s="113"/>
      <c r="FC38" s="113"/>
      <c r="FD38" s="113"/>
      <c r="FE38" s="113"/>
      <c r="FF38" s="113"/>
      <c r="FG38" s="114"/>
      <c r="FH38" s="112"/>
      <c r="FI38" s="113"/>
      <c r="FJ38" s="113"/>
      <c r="FK38" s="113"/>
      <c r="FL38" s="113"/>
      <c r="FM38" s="113"/>
      <c r="FN38" s="113"/>
      <c r="FO38" s="113"/>
      <c r="FP38" s="113"/>
      <c r="FQ38" s="113"/>
      <c r="FR38" s="113"/>
      <c r="FS38" s="113"/>
      <c r="FT38" s="113"/>
      <c r="FU38" s="113"/>
      <c r="FV38" s="113"/>
      <c r="FW38" s="113"/>
      <c r="FX38" s="113"/>
      <c r="FY38" s="113"/>
      <c r="FZ38" s="113"/>
      <c r="GA38" s="113"/>
      <c r="GB38" s="113"/>
      <c r="GC38" s="113"/>
      <c r="GD38" s="113"/>
      <c r="GE38" s="113"/>
      <c r="GF38" s="113"/>
      <c r="GG38" s="113"/>
      <c r="GH38" s="113"/>
      <c r="GI38" s="113"/>
      <c r="GJ38" s="113"/>
      <c r="GK38" s="113"/>
      <c r="GL38" s="113"/>
      <c r="GM38" s="113"/>
      <c r="GN38" s="113"/>
      <c r="GO38" s="113"/>
      <c r="GP38" s="113"/>
      <c r="GQ38" s="113"/>
      <c r="GR38" s="113"/>
      <c r="GS38" s="113"/>
      <c r="GT38" s="113"/>
      <c r="GU38" s="114"/>
    </row>
    <row r="39" spans="2:203" ht="19.5" customHeight="1" x14ac:dyDescent="0.25">
      <c r="B39" s="123" t="str">
        <f>Donnees!$C$38</f>
        <v>Tests</v>
      </c>
      <c r="C39" s="91">
        <v>11</v>
      </c>
      <c r="D39" s="109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1"/>
      <c r="AR39" s="109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1"/>
      <c r="CF39" s="109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9"/>
      <c r="DB39" s="119"/>
      <c r="DC39" s="119"/>
      <c r="DD39" s="119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1"/>
      <c r="DT39" s="109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1"/>
      <c r="FH39" s="118"/>
      <c r="FI39" s="119"/>
      <c r="FJ39" s="119"/>
      <c r="FK39" s="119"/>
      <c r="FL39" s="119"/>
      <c r="FM39" s="119"/>
      <c r="FN39" s="119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1"/>
    </row>
    <row r="40" spans="2:203" ht="19.5" customHeight="1" x14ac:dyDescent="0.25">
      <c r="B40" s="124"/>
      <c r="C40" s="92">
        <v>0</v>
      </c>
      <c r="D40" s="112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4"/>
      <c r="AR40" s="112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4"/>
      <c r="CF40" s="112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13"/>
      <c r="DO40" s="113"/>
      <c r="DP40" s="113"/>
      <c r="DQ40" s="113"/>
      <c r="DR40" s="113"/>
      <c r="DS40" s="114"/>
      <c r="DT40" s="112"/>
      <c r="DU40" s="113"/>
      <c r="DV40" s="113"/>
      <c r="DW40" s="113"/>
      <c r="DX40" s="113"/>
      <c r="DY40" s="113"/>
      <c r="DZ40" s="113"/>
      <c r="EA40" s="113"/>
      <c r="EB40" s="113"/>
      <c r="EC40" s="113"/>
      <c r="ED40" s="113"/>
      <c r="EE40" s="113"/>
      <c r="EF40" s="113"/>
      <c r="EG40" s="113"/>
      <c r="EH40" s="113"/>
      <c r="EI40" s="113"/>
      <c r="EJ40" s="113"/>
      <c r="EK40" s="113"/>
      <c r="EL40" s="113"/>
      <c r="EM40" s="113"/>
      <c r="EN40" s="113"/>
      <c r="EO40" s="113"/>
      <c r="EP40" s="113"/>
      <c r="EQ40" s="113"/>
      <c r="ER40" s="113"/>
      <c r="ES40" s="113"/>
      <c r="ET40" s="113"/>
      <c r="EU40" s="113"/>
      <c r="EV40" s="113"/>
      <c r="EW40" s="113"/>
      <c r="EX40" s="113"/>
      <c r="EY40" s="113"/>
      <c r="EZ40" s="113"/>
      <c r="FA40" s="113"/>
      <c r="FB40" s="113"/>
      <c r="FC40" s="113"/>
      <c r="FD40" s="113"/>
      <c r="FE40" s="113"/>
      <c r="FF40" s="113"/>
      <c r="FG40" s="114"/>
      <c r="FH40" s="112"/>
      <c r="FI40" s="113"/>
      <c r="FJ40" s="113"/>
      <c r="FK40" s="113"/>
      <c r="FL40" s="113"/>
      <c r="FM40" s="113"/>
      <c r="FN40" s="113"/>
      <c r="FO40" s="113"/>
      <c r="FP40" s="113"/>
      <c r="FQ40" s="113"/>
      <c r="FR40" s="113"/>
      <c r="FS40" s="113"/>
      <c r="FT40" s="113"/>
      <c r="FU40" s="113"/>
      <c r="FV40" s="113"/>
      <c r="FW40" s="113"/>
      <c r="FX40" s="113"/>
      <c r="FY40" s="113"/>
      <c r="FZ40" s="113"/>
      <c r="GA40" s="113"/>
      <c r="GB40" s="113"/>
      <c r="GC40" s="113"/>
      <c r="GD40" s="113"/>
      <c r="GE40" s="113"/>
      <c r="GF40" s="113"/>
      <c r="GG40" s="113"/>
      <c r="GH40" s="113"/>
      <c r="GI40" s="113"/>
      <c r="GJ40" s="113"/>
      <c r="GK40" s="113"/>
      <c r="GL40" s="113"/>
      <c r="GM40" s="113"/>
      <c r="GN40" s="113"/>
      <c r="GO40" s="113"/>
      <c r="GP40" s="113"/>
      <c r="GQ40" s="113"/>
      <c r="GR40" s="113"/>
      <c r="GS40" s="113"/>
      <c r="GT40" s="113"/>
      <c r="GU40" s="114"/>
    </row>
    <row r="41" spans="2:203" ht="19.5" customHeight="1" x14ac:dyDescent="0.25">
      <c r="B41" s="25" t="s">
        <v>16</v>
      </c>
      <c r="C41" s="27">
        <f>SUM($C$3,$C$5,$C$7,$C$9,$C$11,$C$13,$C$15,$C$17,$C$19,$C$21,$C$23,$C$25,$C$27,$C$29,$C$31,$C$33,$C$35,$C$37,$C$39)</f>
        <v>200</v>
      </c>
      <c r="D41" s="94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6"/>
      <c r="AR41" s="94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6"/>
      <c r="CF41" s="94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6"/>
      <c r="DT41" s="94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6"/>
      <c r="FH41" s="94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6"/>
    </row>
    <row r="42" spans="2:203" ht="19.5" customHeight="1" thickBot="1" x14ac:dyDescent="0.3">
      <c r="B42" s="26" t="s">
        <v>17</v>
      </c>
      <c r="C42" s="28">
        <f>SUM($C$4,$C$6,$C$8,$C$10,$C$12,$C$14,$C$16,$C$18,$C$20,$C$22,$C$24,$C$26,$C$28,$C$30,$C$32,$C$34,$C$36,$C$38,$C$40)</f>
        <v>12</v>
      </c>
      <c r="D42" s="97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9"/>
      <c r="AR42" s="97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  <c r="BT42" s="98"/>
      <c r="BU42" s="98"/>
      <c r="BV42" s="98"/>
      <c r="BW42" s="98"/>
      <c r="BX42" s="98"/>
      <c r="BY42" s="98"/>
      <c r="BZ42" s="98"/>
      <c r="CA42" s="98"/>
      <c r="CB42" s="98"/>
      <c r="CC42" s="98"/>
      <c r="CD42" s="98"/>
      <c r="CE42" s="99"/>
      <c r="CF42" s="97"/>
      <c r="CG42" s="98"/>
      <c r="CH42" s="98"/>
      <c r="CI42" s="98"/>
      <c r="CJ42" s="98"/>
      <c r="CK42" s="98"/>
      <c r="CL42" s="98"/>
      <c r="CM42" s="98"/>
      <c r="CN42" s="98"/>
      <c r="CO42" s="98"/>
      <c r="CP42" s="98"/>
      <c r="CQ42" s="98"/>
      <c r="CR42" s="98"/>
      <c r="CS42" s="98"/>
      <c r="CT42" s="98"/>
      <c r="CU42" s="98"/>
      <c r="CV42" s="98"/>
      <c r="CW42" s="98"/>
      <c r="CX42" s="98"/>
      <c r="CY42" s="98"/>
      <c r="CZ42" s="98"/>
      <c r="DA42" s="98"/>
      <c r="DB42" s="98"/>
      <c r="DC42" s="98"/>
      <c r="DD42" s="98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9"/>
      <c r="DT42" s="97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  <c r="EH42" s="98"/>
      <c r="EI42" s="98"/>
      <c r="EJ42" s="98"/>
      <c r="EK42" s="98"/>
      <c r="EL42" s="98"/>
      <c r="EM42" s="98"/>
      <c r="EN42" s="98"/>
      <c r="EO42" s="98"/>
      <c r="EP42" s="98"/>
      <c r="EQ42" s="98"/>
      <c r="ER42" s="98"/>
      <c r="ES42" s="98"/>
      <c r="ET42" s="98"/>
      <c r="EU42" s="98"/>
      <c r="EV42" s="98"/>
      <c r="EW42" s="98"/>
      <c r="EX42" s="98"/>
      <c r="EY42" s="98"/>
      <c r="EZ42" s="98"/>
      <c r="FA42" s="98"/>
      <c r="FB42" s="98"/>
      <c r="FC42" s="98"/>
      <c r="FD42" s="98"/>
      <c r="FE42" s="98"/>
      <c r="FF42" s="98"/>
      <c r="FG42" s="99"/>
      <c r="FH42" s="97"/>
      <c r="FI42" s="98"/>
      <c r="FJ42" s="98"/>
      <c r="FK42" s="98"/>
      <c r="FL42" s="98"/>
      <c r="FM42" s="98"/>
      <c r="FN42" s="98"/>
      <c r="FO42" s="98"/>
      <c r="FP42" s="98"/>
      <c r="FQ42" s="98"/>
      <c r="FR42" s="98"/>
      <c r="FS42" s="98"/>
      <c r="FT42" s="98"/>
      <c r="FU42" s="98"/>
      <c r="FV42" s="98"/>
      <c r="FW42" s="98"/>
      <c r="FX42" s="98"/>
      <c r="FY42" s="98"/>
      <c r="FZ42" s="98"/>
      <c r="GA42" s="98"/>
      <c r="GB42" s="98"/>
      <c r="GC42" s="98"/>
      <c r="GD42" s="98"/>
      <c r="GE42" s="98"/>
      <c r="GF42" s="98"/>
      <c r="GG42" s="98"/>
      <c r="GH42" s="98"/>
      <c r="GI42" s="98"/>
      <c r="GJ42" s="98"/>
      <c r="GK42" s="98"/>
      <c r="GL42" s="98"/>
      <c r="GM42" s="98"/>
      <c r="GN42" s="98"/>
      <c r="GO42" s="98"/>
      <c r="GP42" s="98"/>
      <c r="GQ42" s="98"/>
      <c r="GR42" s="98"/>
      <c r="GS42" s="98"/>
      <c r="GT42" s="98"/>
      <c r="GU42" s="99"/>
    </row>
  </sheetData>
  <sheetProtection sheet="1" objects="1" scenarios="1" insertRows="0" selectLockedCells="1"/>
  <mergeCells count="24">
    <mergeCell ref="FH2:GU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39:B40"/>
    <mergeCell ref="D2:AQ2"/>
    <mergeCell ref="AR2:CE2"/>
    <mergeCell ref="CF2:DS2"/>
    <mergeCell ref="DT2:FG2"/>
    <mergeCell ref="B35:B36"/>
    <mergeCell ref="B37:B38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8" t="s">
        <v>21</v>
      </c>
      <c r="C3" s="16">
        <v>0</v>
      </c>
    </row>
    <row r="4" spans="1:4" ht="19.5" customHeight="1" x14ac:dyDescent="0.25">
      <c r="A4" s="19"/>
      <c r="B4" s="13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84"/>
  <sheetViews>
    <sheetView workbookViewId="0">
      <selection activeCell="D9" sqref="D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15" thickBot="1" x14ac:dyDescent="0.3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3" t="s">
        <v>46</v>
      </c>
      <c r="D4" s="108"/>
    </row>
    <row r="5" spans="1:4" s="53" customFormat="1" x14ac:dyDescent="0.25">
      <c r="A5" s="1" t="s">
        <v>47</v>
      </c>
      <c r="B5" s="2">
        <v>4</v>
      </c>
      <c r="C5" s="104" t="s">
        <v>48</v>
      </c>
      <c r="D5" s="108"/>
    </row>
    <row r="6" spans="1:4" s="53" customFormat="1" ht="14.25" x14ac:dyDescent="0.25">
      <c r="A6" s="1"/>
      <c r="B6" s="2"/>
      <c r="C6" s="116" t="s">
        <v>54</v>
      </c>
      <c r="D6" s="108"/>
    </row>
    <row r="7" spans="1:4" s="53" customFormat="1" ht="40.5" x14ac:dyDescent="0.25">
      <c r="A7" s="1" t="s">
        <v>49</v>
      </c>
      <c r="B7" s="2">
        <v>4</v>
      </c>
      <c r="C7" s="104" t="s">
        <v>50</v>
      </c>
      <c r="D7" s="108"/>
    </row>
    <row r="8" spans="1:4" s="53" customFormat="1" ht="27" x14ac:dyDescent="0.25">
      <c r="A8" s="1" t="s">
        <v>28</v>
      </c>
      <c r="B8" s="2">
        <v>2</v>
      </c>
      <c r="C8" s="104" t="s">
        <v>51</v>
      </c>
      <c r="D8" s="108"/>
    </row>
    <row r="9" spans="1:4" s="53" customFormat="1" ht="54" x14ac:dyDescent="0.25">
      <c r="A9" s="1" t="s">
        <v>29</v>
      </c>
      <c r="B9" s="2">
        <v>3</v>
      </c>
      <c r="C9" s="104" t="s">
        <v>52</v>
      </c>
      <c r="D9" s="108"/>
    </row>
    <row r="10" spans="1:4" s="53" customFormat="1" ht="14.25" x14ac:dyDescent="0.25">
      <c r="A10" s="1"/>
      <c r="B10" s="2"/>
      <c r="C10" s="116" t="s">
        <v>55</v>
      </c>
      <c r="D10" s="108"/>
    </row>
    <row r="11" spans="1:4" s="53" customFormat="1" ht="27" x14ac:dyDescent="0.25">
      <c r="A11" s="1" t="s">
        <v>29</v>
      </c>
      <c r="B11" s="2">
        <v>2</v>
      </c>
      <c r="C11" s="104" t="s">
        <v>58</v>
      </c>
      <c r="D11" s="108"/>
    </row>
    <row r="12" spans="1:4" s="53" customFormat="1" ht="27" x14ac:dyDescent="0.25">
      <c r="A12" s="1" t="s">
        <v>29</v>
      </c>
      <c r="B12" s="2">
        <v>2</v>
      </c>
      <c r="C12" s="104" t="s">
        <v>59</v>
      </c>
      <c r="D12" s="108"/>
    </row>
    <row r="13" spans="1:4" s="53" customFormat="1" ht="40.5" x14ac:dyDescent="0.25">
      <c r="A13" s="1" t="s">
        <v>33</v>
      </c>
      <c r="B13" s="2">
        <v>2</v>
      </c>
      <c r="C13" s="104" t="s">
        <v>60</v>
      </c>
      <c r="D13" s="10"/>
    </row>
    <row r="14" spans="1:4" s="53" customFormat="1" ht="27" x14ac:dyDescent="0.25">
      <c r="A14" s="1" t="s">
        <v>34</v>
      </c>
      <c r="B14" s="2">
        <v>2</v>
      </c>
      <c r="C14" s="107" t="s">
        <v>62</v>
      </c>
      <c r="D14" s="10"/>
    </row>
    <row r="15" spans="1:4" s="53" customFormat="1" ht="14.25" x14ac:dyDescent="0.25">
      <c r="A15" s="1"/>
      <c r="B15" s="2"/>
      <c r="C15" s="116" t="s">
        <v>56</v>
      </c>
      <c r="D15" s="10"/>
    </row>
    <row r="16" spans="1:4" s="53" customFormat="1" ht="40.5" x14ac:dyDescent="0.25">
      <c r="A16" s="1" t="s">
        <v>49</v>
      </c>
      <c r="B16" s="2">
        <v>8</v>
      </c>
      <c r="C16" s="107" t="s">
        <v>63</v>
      </c>
      <c r="D16" s="10"/>
    </row>
    <row r="17" spans="1:9" s="53" customFormat="1" ht="14.25" x14ac:dyDescent="0.25">
      <c r="A17" s="1"/>
      <c r="B17" s="2"/>
      <c r="C17" s="117" t="s">
        <v>57</v>
      </c>
      <c r="D17" s="10"/>
    </row>
    <row r="18" spans="1:9" s="53" customFormat="1" ht="27" x14ac:dyDescent="0.25">
      <c r="A18" s="1" t="s">
        <v>32</v>
      </c>
      <c r="B18" s="2">
        <v>5</v>
      </c>
      <c r="C18" s="104" t="s">
        <v>64</v>
      </c>
      <c r="D18" s="10"/>
    </row>
    <row r="19" spans="1:9" s="53" customFormat="1" ht="27.75" thickBot="1" x14ac:dyDescent="0.3">
      <c r="A19" s="1" t="s">
        <v>32</v>
      </c>
      <c r="B19" s="2">
        <v>2</v>
      </c>
      <c r="C19" s="104" t="s">
        <v>65</v>
      </c>
      <c r="D19" s="10"/>
    </row>
    <row r="20" spans="1:9" ht="14.25" thickBot="1" x14ac:dyDescent="0.3">
      <c r="A20" s="12" t="s">
        <v>22</v>
      </c>
      <c r="B20" s="12">
        <f>SUM(B3:B19)</f>
        <v>40</v>
      </c>
      <c r="C20" s="100" t="s">
        <v>61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ht="14.25" x14ac:dyDescent="0.25">
      <c r="A24" s="5"/>
      <c r="B24" s="4"/>
      <c r="C24" s="115" t="s">
        <v>53</v>
      </c>
      <c r="D24" s="9"/>
    </row>
    <row r="25" spans="1:9" x14ac:dyDescent="0.25">
      <c r="A25" s="105" t="s">
        <v>21</v>
      </c>
      <c r="B25" s="106">
        <v>8</v>
      </c>
      <c r="C25" s="107" t="s">
        <v>66</v>
      </c>
      <c r="D25" s="108"/>
    </row>
    <row r="26" spans="1:9" ht="14.25" x14ac:dyDescent="0.25">
      <c r="A26" s="105"/>
      <c r="B26" s="106"/>
      <c r="C26" s="116" t="s">
        <v>54</v>
      </c>
      <c r="D26" s="108"/>
    </row>
    <row r="27" spans="1:9" ht="40.5" x14ac:dyDescent="0.25">
      <c r="A27" s="105" t="s">
        <v>49</v>
      </c>
      <c r="B27" s="106">
        <v>4</v>
      </c>
      <c r="C27" s="104" t="s">
        <v>50</v>
      </c>
      <c r="D27" s="108"/>
    </row>
    <row r="28" spans="1:9" x14ac:dyDescent="0.25">
      <c r="A28" s="105" t="s">
        <v>36</v>
      </c>
      <c r="B28" s="106">
        <v>5</v>
      </c>
      <c r="C28" s="107" t="s">
        <v>67</v>
      </c>
      <c r="D28" s="108"/>
    </row>
    <row r="29" spans="1:9" ht="14.25" x14ac:dyDescent="0.25">
      <c r="A29" s="105"/>
      <c r="B29" s="106"/>
      <c r="C29" s="116" t="s">
        <v>55</v>
      </c>
      <c r="D29" s="108"/>
    </row>
    <row r="30" spans="1:9" ht="40.5" x14ac:dyDescent="0.25">
      <c r="A30" s="105" t="s">
        <v>36</v>
      </c>
      <c r="B30" s="106">
        <v>4</v>
      </c>
      <c r="C30" s="107" t="s">
        <v>68</v>
      </c>
      <c r="D30" s="108"/>
    </row>
    <row r="31" spans="1:9" ht="27" x14ac:dyDescent="0.25">
      <c r="A31" s="1" t="s">
        <v>34</v>
      </c>
      <c r="B31" s="2">
        <v>4</v>
      </c>
      <c r="C31" s="107" t="s">
        <v>69</v>
      </c>
      <c r="D31" s="10"/>
    </row>
    <row r="32" spans="1:9" ht="14.25" x14ac:dyDescent="0.25">
      <c r="A32" s="1"/>
      <c r="B32" s="2"/>
      <c r="C32" s="116" t="s">
        <v>56</v>
      </c>
      <c r="D32" s="10"/>
      <c r="E32" s="20"/>
      <c r="F32" s="20"/>
      <c r="G32" s="20"/>
      <c r="H32" s="20"/>
      <c r="I32" s="20"/>
    </row>
    <row r="33" spans="1:9" ht="40.5" customHeight="1" x14ac:dyDescent="0.25">
      <c r="A33" s="1" t="s">
        <v>49</v>
      </c>
      <c r="B33" s="2">
        <v>8</v>
      </c>
      <c r="C33" s="107" t="s">
        <v>63</v>
      </c>
      <c r="D33" s="10"/>
      <c r="E33" s="20"/>
      <c r="F33" s="32"/>
      <c r="G33" s="33"/>
      <c r="H33" s="34"/>
      <c r="I33" s="20"/>
    </row>
    <row r="34" spans="1:9" ht="14.25" x14ac:dyDescent="0.25">
      <c r="A34" s="1"/>
      <c r="B34" s="2"/>
      <c r="C34" s="117" t="s">
        <v>57</v>
      </c>
      <c r="D34" s="10"/>
      <c r="E34" s="20"/>
      <c r="F34" s="37"/>
      <c r="G34" s="38"/>
      <c r="H34" s="38"/>
      <c r="I34" s="20"/>
    </row>
    <row r="35" spans="1:9" ht="27.75" thickBot="1" x14ac:dyDescent="0.3">
      <c r="A35" s="2" t="s">
        <v>47</v>
      </c>
      <c r="B35" s="2">
        <v>7</v>
      </c>
      <c r="C35" s="104" t="s">
        <v>76</v>
      </c>
      <c r="D35" s="10"/>
      <c r="E35" s="20"/>
      <c r="F35" s="37"/>
      <c r="G35" s="38"/>
      <c r="H35" s="38"/>
      <c r="I35" s="20"/>
    </row>
    <row r="36" spans="1:9" ht="14.25" thickBot="1" x14ac:dyDescent="0.3">
      <c r="A36" s="12" t="s">
        <v>22</v>
      </c>
      <c r="B36" s="12">
        <f>SUM(B24:B35)</f>
        <v>40</v>
      </c>
      <c r="C36" s="100" t="s">
        <v>61</v>
      </c>
      <c r="D36" s="13"/>
      <c r="E36" s="20"/>
      <c r="F36" s="37"/>
      <c r="G36" s="38"/>
      <c r="H36" s="38"/>
      <c r="I36" s="20"/>
    </row>
    <row r="37" spans="1:9" ht="15" thickBot="1" x14ac:dyDescent="0.35">
      <c r="A37" s="14"/>
      <c r="B37" s="14"/>
      <c r="C37" s="14"/>
      <c r="D37" s="14"/>
      <c r="E37" s="20"/>
      <c r="F37" s="37"/>
      <c r="G37" s="38"/>
      <c r="H37" s="38"/>
      <c r="I37" s="20"/>
    </row>
    <row r="38" spans="1:9" ht="18.75" thickBot="1" x14ac:dyDescent="0.3">
      <c r="A38" s="6" t="s">
        <v>14</v>
      </c>
      <c r="B38" s="7">
        <v>3</v>
      </c>
      <c r="C38" s="17"/>
      <c r="D38" s="87"/>
      <c r="E38" s="20"/>
      <c r="F38" s="37"/>
      <c r="G38" s="38"/>
      <c r="H38" s="38"/>
      <c r="I38" s="20"/>
    </row>
    <row r="39" spans="1:9" ht="27.75" thickBot="1" x14ac:dyDescent="0.3">
      <c r="A39" s="8" t="s">
        <v>3</v>
      </c>
      <c r="B39" s="18" t="s">
        <v>15</v>
      </c>
      <c r="C39" s="8" t="s">
        <v>7</v>
      </c>
      <c r="D39" s="8" t="s">
        <v>13</v>
      </c>
      <c r="E39" s="20"/>
      <c r="F39" s="39"/>
      <c r="G39" s="40"/>
      <c r="H39" s="40"/>
      <c r="I39" s="20"/>
    </row>
    <row r="40" spans="1:9" ht="14.25" x14ac:dyDescent="0.3">
      <c r="A40" s="5"/>
      <c r="B40" s="4"/>
      <c r="C40" s="115" t="s">
        <v>53</v>
      </c>
      <c r="D40" s="9"/>
      <c r="E40" s="20"/>
      <c r="F40" s="41"/>
      <c r="G40" s="41"/>
      <c r="H40" s="41"/>
      <c r="I40" s="20"/>
    </row>
    <row r="41" spans="1:9" ht="27" x14ac:dyDescent="0.3">
      <c r="A41" s="105" t="s">
        <v>72</v>
      </c>
      <c r="B41" s="106">
        <v>4</v>
      </c>
      <c r="C41" s="107" t="s">
        <v>73</v>
      </c>
      <c r="D41" s="108"/>
      <c r="E41" s="20"/>
      <c r="F41" s="41"/>
      <c r="G41" s="41"/>
      <c r="H41" s="41"/>
      <c r="I41" s="20"/>
    </row>
    <row r="42" spans="1:9" ht="27" x14ac:dyDescent="0.3">
      <c r="A42" s="105" t="s">
        <v>35</v>
      </c>
      <c r="B42" s="106">
        <v>4</v>
      </c>
      <c r="C42" s="107" t="s">
        <v>77</v>
      </c>
      <c r="D42" s="108"/>
      <c r="E42" s="20"/>
      <c r="F42" s="41"/>
      <c r="G42" s="41"/>
      <c r="H42" s="41"/>
      <c r="I42" s="20"/>
    </row>
    <row r="43" spans="1:9" ht="14.25" x14ac:dyDescent="0.3">
      <c r="A43" s="105"/>
      <c r="B43" s="106"/>
      <c r="C43" s="116" t="s">
        <v>54</v>
      </c>
      <c r="D43" s="108"/>
      <c r="E43" s="20"/>
      <c r="F43" s="41"/>
      <c r="G43" s="41"/>
      <c r="H43" s="41"/>
      <c r="I43" s="20"/>
    </row>
    <row r="44" spans="1:9" ht="40.5" x14ac:dyDescent="0.3">
      <c r="A44" s="105" t="s">
        <v>49</v>
      </c>
      <c r="B44" s="106">
        <v>4</v>
      </c>
      <c r="C44" s="104" t="s">
        <v>50</v>
      </c>
      <c r="D44" s="108"/>
      <c r="E44" s="20"/>
      <c r="F44" s="41"/>
      <c r="G44" s="41"/>
      <c r="H44" s="41"/>
      <c r="I44" s="20"/>
    </row>
    <row r="45" spans="1:9" ht="27" x14ac:dyDescent="0.3">
      <c r="A45" s="105" t="s">
        <v>35</v>
      </c>
      <c r="B45" s="106">
        <v>5</v>
      </c>
      <c r="C45" s="107" t="s">
        <v>78</v>
      </c>
      <c r="D45" s="108"/>
      <c r="E45" s="20"/>
      <c r="F45" s="41"/>
      <c r="G45" s="41"/>
      <c r="H45" s="41"/>
      <c r="I45" s="20"/>
    </row>
    <row r="46" spans="1:9" ht="14.25" x14ac:dyDescent="0.3">
      <c r="A46" s="105"/>
      <c r="B46" s="106"/>
      <c r="C46" s="116" t="s">
        <v>55</v>
      </c>
      <c r="D46" s="108"/>
      <c r="E46" s="20"/>
      <c r="F46" s="41"/>
      <c r="G46" s="41"/>
      <c r="H46" s="41"/>
      <c r="I46" s="20"/>
    </row>
    <row r="47" spans="1:9" ht="27" x14ac:dyDescent="0.25">
      <c r="A47" s="1" t="s">
        <v>34</v>
      </c>
      <c r="B47" s="2">
        <v>4</v>
      </c>
      <c r="C47" s="107" t="s">
        <v>79</v>
      </c>
      <c r="D47" s="10"/>
      <c r="E47" s="20"/>
      <c r="F47" s="20"/>
      <c r="G47" s="20"/>
      <c r="H47" s="20"/>
      <c r="I47" s="20"/>
    </row>
    <row r="48" spans="1:9" ht="81" x14ac:dyDescent="0.25">
      <c r="A48" s="105" t="s">
        <v>74</v>
      </c>
      <c r="B48" s="106">
        <v>4</v>
      </c>
      <c r="C48" s="107" t="s">
        <v>80</v>
      </c>
      <c r="D48" s="10"/>
      <c r="E48" s="20"/>
      <c r="F48" s="20"/>
      <c r="G48" s="20"/>
      <c r="H48" s="20"/>
      <c r="I48" s="20"/>
    </row>
    <row r="49" spans="1:9" ht="14.25" x14ac:dyDescent="0.25">
      <c r="A49" s="1"/>
      <c r="B49" s="2"/>
      <c r="C49" s="116" t="s">
        <v>56</v>
      </c>
      <c r="D49" s="10"/>
      <c r="E49" s="20"/>
      <c r="F49" s="20"/>
      <c r="G49" s="20"/>
      <c r="H49" s="20"/>
      <c r="I49" s="20"/>
    </row>
    <row r="50" spans="1:9" ht="40.5" x14ac:dyDescent="0.25">
      <c r="A50" s="1" t="s">
        <v>49</v>
      </c>
      <c r="B50" s="2">
        <v>8</v>
      </c>
      <c r="C50" s="107" t="s">
        <v>63</v>
      </c>
      <c r="D50" s="10"/>
    </row>
    <row r="51" spans="1:9" ht="14.25" x14ac:dyDescent="0.25">
      <c r="A51" s="2"/>
      <c r="B51" s="2"/>
      <c r="C51" s="117" t="s">
        <v>57</v>
      </c>
      <c r="D51" s="10"/>
    </row>
    <row r="52" spans="1:9" ht="14.25" thickBot="1" x14ac:dyDescent="0.3">
      <c r="A52" s="1" t="s">
        <v>71</v>
      </c>
      <c r="B52" s="2">
        <v>7</v>
      </c>
      <c r="C52" s="107" t="s">
        <v>75</v>
      </c>
      <c r="D52" s="10"/>
    </row>
    <row r="53" spans="1:9" ht="14.25" thickBot="1" x14ac:dyDescent="0.3">
      <c r="A53" s="12" t="s">
        <v>22</v>
      </c>
      <c r="B53" s="12">
        <f>SUM(B40:B52)</f>
        <v>40</v>
      </c>
      <c r="C53" s="100" t="s">
        <v>61</v>
      </c>
      <c r="D53" s="13"/>
    </row>
    <row r="54" spans="1:9" ht="15" thickBot="1" x14ac:dyDescent="0.35">
      <c r="A54" s="14"/>
      <c r="B54" s="14"/>
      <c r="C54" s="14"/>
      <c r="D54" s="14"/>
    </row>
    <row r="55" spans="1:9" ht="18.75" thickBot="1" x14ac:dyDescent="0.3">
      <c r="A55" s="6" t="s">
        <v>14</v>
      </c>
      <c r="B55" s="7">
        <v>4</v>
      </c>
      <c r="C55" s="17"/>
      <c r="D55" s="87"/>
    </row>
    <row r="56" spans="1:9" ht="27.75" thickBot="1" x14ac:dyDescent="0.3">
      <c r="A56" s="8" t="s">
        <v>3</v>
      </c>
      <c r="B56" s="18" t="s">
        <v>15</v>
      </c>
      <c r="C56" s="8" t="s">
        <v>7</v>
      </c>
      <c r="D56" s="8" t="s">
        <v>13</v>
      </c>
    </row>
    <row r="57" spans="1:9" ht="14.25" x14ac:dyDescent="0.25">
      <c r="A57" s="5"/>
      <c r="B57" s="4"/>
      <c r="C57" s="115" t="s">
        <v>53</v>
      </c>
      <c r="D57" s="9"/>
    </row>
    <row r="58" spans="1:9" x14ac:dyDescent="0.25">
      <c r="A58" s="105" t="s">
        <v>21</v>
      </c>
      <c r="B58" s="106">
        <v>8</v>
      </c>
      <c r="C58" s="107" t="s">
        <v>81</v>
      </c>
      <c r="D58" s="108"/>
    </row>
    <row r="59" spans="1:9" ht="14.25" x14ac:dyDescent="0.25">
      <c r="A59" s="105"/>
      <c r="B59" s="106"/>
      <c r="C59" s="116" t="s">
        <v>54</v>
      </c>
      <c r="D59" s="108"/>
    </row>
    <row r="60" spans="1:9" x14ac:dyDescent="0.25">
      <c r="A60" s="105" t="s">
        <v>21</v>
      </c>
      <c r="B60" s="106">
        <v>9</v>
      </c>
      <c r="C60" s="107" t="s">
        <v>81</v>
      </c>
      <c r="D60" s="108"/>
    </row>
    <row r="61" spans="1:9" ht="14.25" x14ac:dyDescent="0.25">
      <c r="A61" s="1"/>
      <c r="B61" s="2"/>
      <c r="C61" s="116" t="s">
        <v>55</v>
      </c>
      <c r="D61" s="10"/>
    </row>
    <row r="62" spans="1:9" x14ac:dyDescent="0.25">
      <c r="A62" s="105" t="s">
        <v>21</v>
      </c>
      <c r="B62" s="2">
        <v>8</v>
      </c>
      <c r="C62" s="107" t="s">
        <v>81</v>
      </c>
      <c r="D62" s="10"/>
    </row>
    <row r="63" spans="1:9" ht="14.25" x14ac:dyDescent="0.25">
      <c r="A63" s="1"/>
      <c r="B63" s="2"/>
      <c r="C63" s="116" t="s">
        <v>56</v>
      </c>
      <c r="D63" s="10"/>
    </row>
    <row r="64" spans="1:9" x14ac:dyDescent="0.25">
      <c r="A64" s="105" t="s">
        <v>21</v>
      </c>
      <c r="B64" s="2">
        <v>8</v>
      </c>
      <c r="C64" s="107" t="s">
        <v>81</v>
      </c>
      <c r="D64" s="10"/>
    </row>
    <row r="65" spans="1:4" ht="14.25" x14ac:dyDescent="0.25">
      <c r="A65" s="2"/>
      <c r="B65" s="2"/>
      <c r="C65" s="117" t="s">
        <v>57</v>
      </c>
      <c r="D65" s="10"/>
    </row>
    <row r="66" spans="1:4" ht="14.25" thickBot="1" x14ac:dyDescent="0.3">
      <c r="A66" s="105" t="s">
        <v>21</v>
      </c>
      <c r="B66" s="2">
        <v>7</v>
      </c>
      <c r="C66" s="107" t="s">
        <v>81</v>
      </c>
      <c r="D66" s="10"/>
    </row>
    <row r="67" spans="1:4" ht="14.25" thickBot="1" x14ac:dyDescent="0.3">
      <c r="A67" s="12" t="s">
        <v>22</v>
      </c>
      <c r="B67" s="12">
        <f>SUM(B57:B66)</f>
        <v>40</v>
      </c>
      <c r="C67" s="100" t="s">
        <v>61</v>
      </c>
      <c r="D67" s="13"/>
    </row>
    <row r="68" spans="1:4" ht="15" thickBot="1" x14ac:dyDescent="0.35">
      <c r="A68" s="14"/>
      <c r="B68" s="14"/>
      <c r="C68" s="14"/>
      <c r="D68" s="14"/>
    </row>
    <row r="69" spans="1:4" ht="18.75" thickBot="1" x14ac:dyDescent="0.3">
      <c r="A69" s="6" t="s">
        <v>14</v>
      </c>
      <c r="B69" s="7">
        <v>5</v>
      </c>
      <c r="C69" s="17"/>
      <c r="D69" s="87"/>
    </row>
    <row r="70" spans="1:4" ht="27.75" thickBot="1" x14ac:dyDescent="0.3">
      <c r="A70" s="8" t="s">
        <v>3</v>
      </c>
      <c r="B70" s="18" t="s">
        <v>15</v>
      </c>
      <c r="C70" s="8" t="s">
        <v>7</v>
      </c>
      <c r="D70" s="8" t="s">
        <v>13</v>
      </c>
    </row>
    <row r="71" spans="1:4" ht="14.25" x14ac:dyDescent="0.25">
      <c r="A71" s="5"/>
      <c r="B71" s="4"/>
      <c r="C71" s="115" t="s">
        <v>53</v>
      </c>
      <c r="D71" s="9"/>
    </row>
    <row r="72" spans="1:4" x14ac:dyDescent="0.25">
      <c r="A72" s="105" t="s">
        <v>74</v>
      </c>
      <c r="B72" s="106">
        <v>7</v>
      </c>
      <c r="C72" s="107" t="s">
        <v>83</v>
      </c>
      <c r="D72" s="108"/>
    </row>
    <row r="73" spans="1:4" ht="27" x14ac:dyDescent="0.25">
      <c r="A73" s="105" t="s">
        <v>31</v>
      </c>
      <c r="B73" s="106">
        <v>1</v>
      </c>
      <c r="C73" s="107" t="s">
        <v>82</v>
      </c>
      <c r="D73" s="108"/>
    </row>
    <row r="74" spans="1:4" ht="14.25" x14ac:dyDescent="0.25">
      <c r="A74" s="105"/>
      <c r="B74" s="106"/>
      <c r="C74" s="116" t="s">
        <v>54</v>
      </c>
      <c r="D74" s="108"/>
    </row>
    <row r="75" spans="1:4" x14ac:dyDescent="0.25">
      <c r="A75" s="105" t="s">
        <v>70</v>
      </c>
      <c r="B75" s="106">
        <v>8</v>
      </c>
      <c r="C75" s="108"/>
      <c r="D75" s="108"/>
    </row>
    <row r="76" spans="1:4" ht="14.25" x14ac:dyDescent="0.25">
      <c r="A76" s="1"/>
      <c r="B76" s="2"/>
      <c r="C76" s="116" t="s">
        <v>55</v>
      </c>
      <c r="D76" s="10"/>
    </row>
    <row r="77" spans="1:4" x14ac:dyDescent="0.25">
      <c r="A77" s="105" t="s">
        <v>70</v>
      </c>
      <c r="B77" s="106">
        <v>8</v>
      </c>
      <c r="C77" s="108"/>
      <c r="D77" s="10"/>
    </row>
    <row r="78" spans="1:4" ht="14.25" x14ac:dyDescent="0.25">
      <c r="A78" s="1"/>
      <c r="B78" s="2"/>
      <c r="C78" s="116" t="s">
        <v>56</v>
      </c>
      <c r="D78" s="10"/>
    </row>
    <row r="79" spans="1:4" x14ac:dyDescent="0.25">
      <c r="A79" s="105" t="s">
        <v>70</v>
      </c>
      <c r="B79" s="106">
        <v>8</v>
      </c>
      <c r="C79" s="10"/>
      <c r="D79" s="10"/>
    </row>
    <row r="80" spans="1:4" ht="14.25" x14ac:dyDescent="0.25">
      <c r="A80" s="2"/>
      <c r="B80" s="2"/>
      <c r="C80" s="117" t="s">
        <v>57</v>
      </c>
      <c r="D80" s="10"/>
    </row>
    <row r="81" spans="1:4" ht="27.75" thickBot="1" x14ac:dyDescent="0.3">
      <c r="A81" s="2" t="s">
        <v>31</v>
      </c>
      <c r="B81" s="2">
        <v>8</v>
      </c>
      <c r="C81" s="104" t="s">
        <v>84</v>
      </c>
      <c r="D81" s="10"/>
    </row>
    <row r="82" spans="1:4" ht="14.25" thickBot="1" x14ac:dyDescent="0.3">
      <c r="A82" s="12" t="s">
        <v>22</v>
      </c>
      <c r="B82" s="12">
        <f>SUM(B71:B81)</f>
        <v>40</v>
      </c>
      <c r="C82" s="100" t="s">
        <v>61</v>
      </c>
      <c r="D82" s="13"/>
    </row>
    <row r="83" spans="1:4" ht="14.25" x14ac:dyDescent="0.3">
      <c r="A83" s="14"/>
      <c r="B83" s="14"/>
      <c r="C83" s="14"/>
      <c r="D83" s="14"/>
    </row>
    <row r="84" spans="1:4" x14ac:dyDescent="0.25">
      <c r="A84" s="101" t="s">
        <v>45</v>
      </c>
    </row>
  </sheetData>
  <sheetProtection insertRows="0" selectLockedCells="1"/>
  <dataValidations count="4">
    <dataValidation type="list" allowBlank="1" showInputMessage="1" showErrorMessage="1" sqref="A57:A66 A24:A35 A40:A52 A3:A19 A71:A8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6 B53 B67 B8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7:B66 B24:B35 B40:B52 B3:B19 F34:F38 B71:B8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10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x14ac:dyDescent="0.25">
      <c r="A3" s="5"/>
      <c r="B3" s="4"/>
      <c r="C3" s="115" t="s">
        <v>53</v>
      </c>
      <c r="D3" s="9"/>
    </row>
    <row r="4" spans="1:4" s="53" customFormat="1" x14ac:dyDescent="0.25">
      <c r="A4" s="105" t="s">
        <v>28</v>
      </c>
      <c r="B4" s="106">
        <v>4</v>
      </c>
      <c r="C4" s="107" t="s">
        <v>85</v>
      </c>
      <c r="D4" s="108"/>
    </row>
    <row r="5" spans="1:4" s="53" customFormat="1" x14ac:dyDescent="0.25">
      <c r="A5" s="105" t="s">
        <v>47</v>
      </c>
      <c r="B5" s="106">
        <v>4</v>
      </c>
      <c r="C5" s="107" t="s">
        <v>86</v>
      </c>
      <c r="D5" s="108"/>
    </row>
    <row r="6" spans="1:4" s="53" customFormat="1" x14ac:dyDescent="0.25">
      <c r="A6" s="105"/>
      <c r="B6" s="106"/>
      <c r="C6" s="108"/>
      <c r="D6" s="108"/>
    </row>
    <row r="7" spans="1:4" s="53" customFormat="1" ht="14.25" x14ac:dyDescent="0.25">
      <c r="A7" s="105"/>
      <c r="B7" s="106"/>
      <c r="C7" s="116" t="s">
        <v>54</v>
      </c>
      <c r="D7" s="108"/>
    </row>
    <row r="8" spans="1:4" s="53" customFormat="1" x14ac:dyDescent="0.25">
      <c r="A8" s="105" t="s">
        <v>49</v>
      </c>
      <c r="B8" s="106">
        <v>4</v>
      </c>
      <c r="C8" s="108"/>
      <c r="D8" s="108"/>
    </row>
    <row r="9" spans="1:4" s="53" customFormat="1" x14ac:dyDescent="0.25">
      <c r="A9" s="105"/>
      <c r="B9" s="106"/>
      <c r="C9" s="108"/>
      <c r="D9" s="108"/>
    </row>
    <row r="10" spans="1:4" s="53" customFormat="1" x14ac:dyDescent="0.25">
      <c r="A10" s="105"/>
      <c r="B10" s="106"/>
      <c r="C10" s="108"/>
      <c r="D10" s="108"/>
    </row>
    <row r="11" spans="1:4" s="53" customFormat="1" ht="14.25" x14ac:dyDescent="0.25">
      <c r="A11" s="105"/>
      <c r="B11" s="106"/>
      <c r="C11" s="116" t="s">
        <v>55</v>
      </c>
      <c r="D11" s="108"/>
    </row>
    <row r="12" spans="1:4" s="53" customFormat="1" x14ac:dyDescent="0.25">
      <c r="A12" s="105"/>
      <c r="B12" s="106"/>
      <c r="C12" s="108"/>
      <c r="D12" s="108"/>
    </row>
    <row r="13" spans="1:4" s="53" customFormat="1" x14ac:dyDescent="0.25">
      <c r="A13" s="105"/>
      <c r="B13" s="106"/>
      <c r="C13" s="108"/>
      <c r="D13" s="108"/>
    </row>
    <row r="14" spans="1:4" s="53" customFormat="1" x14ac:dyDescent="0.25">
      <c r="A14" s="105"/>
      <c r="B14" s="106"/>
      <c r="C14" s="108"/>
      <c r="D14" s="108"/>
    </row>
    <row r="15" spans="1:4" s="53" customFormat="1" ht="14.25" x14ac:dyDescent="0.25">
      <c r="A15" s="105"/>
      <c r="B15" s="106"/>
      <c r="C15" s="116" t="s">
        <v>56</v>
      </c>
      <c r="D15" s="108"/>
    </row>
    <row r="16" spans="1:4" s="53" customFormat="1" x14ac:dyDescent="0.25">
      <c r="A16" s="105"/>
      <c r="B16" s="106"/>
      <c r="C16" s="108"/>
      <c r="D16" s="108"/>
    </row>
    <row r="17" spans="1:4" s="53" customFormat="1" x14ac:dyDescent="0.25">
      <c r="A17" s="105"/>
      <c r="B17" s="106"/>
      <c r="C17" s="108"/>
      <c r="D17" s="108"/>
    </row>
    <row r="18" spans="1:4" s="53" customFormat="1" x14ac:dyDescent="0.25">
      <c r="A18" s="1"/>
      <c r="B18" s="2"/>
      <c r="C18" s="10"/>
      <c r="D18" s="10"/>
    </row>
    <row r="19" spans="1:4" s="53" customFormat="1" ht="14.25" x14ac:dyDescent="0.25">
      <c r="A19" s="1"/>
      <c r="B19" s="2"/>
      <c r="C19" s="117" t="s">
        <v>57</v>
      </c>
      <c r="D19" s="10"/>
    </row>
    <row r="20" spans="1:4" s="53" customFormat="1" x14ac:dyDescent="0.25">
      <c r="A20" s="1"/>
      <c r="B20" s="2"/>
      <c r="C20" s="10"/>
      <c r="D20" s="10"/>
    </row>
    <row r="21" spans="1:4" s="53" customFormat="1" x14ac:dyDescent="0.25">
      <c r="A21" s="1"/>
      <c r="B21" s="2"/>
      <c r="C21" s="10"/>
      <c r="D21" s="10"/>
    </row>
    <row r="22" spans="1:4" s="53" customFormat="1" x14ac:dyDescent="0.25">
      <c r="A22" s="1"/>
      <c r="B22" s="2"/>
      <c r="C22" s="10"/>
      <c r="D22" s="10"/>
    </row>
    <row r="23" spans="1:4" s="53" customFormat="1" x14ac:dyDescent="0.25">
      <c r="A23" s="1"/>
      <c r="B23" s="2"/>
      <c r="C23" s="10"/>
      <c r="D23" s="10"/>
    </row>
    <row r="24" spans="1:4" s="53" customFormat="1" x14ac:dyDescent="0.25">
      <c r="A24" s="1"/>
      <c r="B24" s="2"/>
      <c r="C24" s="10"/>
      <c r="D24" s="10"/>
    </row>
    <row r="25" spans="1:4" s="53" customFormat="1" x14ac:dyDescent="0.25">
      <c r="A25" s="1"/>
      <c r="B25" s="2"/>
      <c r="C25" s="10"/>
      <c r="D25" s="10"/>
    </row>
    <row r="26" spans="1:4" s="53" customFormat="1" x14ac:dyDescent="0.25">
      <c r="A26" s="2"/>
      <c r="B26" s="2"/>
      <c r="C26" s="10"/>
      <c r="D26" s="10"/>
    </row>
    <row r="27" spans="1:4" s="53" customFormat="1" x14ac:dyDescent="0.25">
      <c r="A27" s="2"/>
      <c r="B27" s="2"/>
      <c r="C27" s="10"/>
      <c r="D27" s="10"/>
    </row>
    <row r="28" spans="1:4" s="53" customFormat="1" x14ac:dyDescent="0.25">
      <c r="A28" s="2"/>
      <c r="B28" s="2"/>
      <c r="C28" s="10"/>
      <c r="D28" s="10"/>
    </row>
    <row r="29" spans="1:4" s="53" customFormat="1" x14ac:dyDescent="0.25">
      <c r="A29" s="51"/>
      <c r="B29" s="51"/>
      <c r="C29" s="52"/>
      <c r="D29" s="52"/>
    </row>
    <row r="30" spans="1:4" s="53" customFormat="1" x14ac:dyDescent="0.25">
      <c r="A30" s="51"/>
      <c r="B30" s="51"/>
      <c r="C30" s="52"/>
      <c r="D30" s="52"/>
    </row>
    <row r="31" spans="1:4" s="53" customFormat="1" ht="14.25" thickBot="1" x14ac:dyDescent="0.3">
      <c r="A31" s="3"/>
      <c r="B31" s="3"/>
      <c r="C31" s="11"/>
      <c r="D31" s="11"/>
    </row>
    <row r="32" spans="1:4" ht="14.25" thickBot="1" x14ac:dyDescent="0.3">
      <c r="A32" s="48" t="s">
        <v>22</v>
      </c>
      <c r="B32" s="48">
        <f>SUM(B3:B31)</f>
        <v>12</v>
      </c>
      <c r="C32" s="102" t="s">
        <v>61</v>
      </c>
      <c r="D32" s="49"/>
    </row>
    <row r="33" spans="1:9" ht="15" thickBot="1" x14ac:dyDescent="0.35">
      <c r="A33" s="50"/>
      <c r="B33" s="50"/>
      <c r="C33" s="50"/>
      <c r="D33" s="50"/>
    </row>
    <row r="34" spans="1:9" ht="18.75" thickBot="1" x14ac:dyDescent="0.3">
      <c r="A34" s="43" t="s">
        <v>14</v>
      </c>
      <c r="B34" s="44">
        <v>2</v>
      </c>
      <c r="C34" s="45" t="s">
        <v>23</v>
      </c>
      <c r="D34" s="54">
        <f>$D$1+7</f>
        <v>43626</v>
      </c>
    </row>
    <row r="35" spans="1:9" ht="27.75" thickBot="1" x14ac:dyDescent="0.3">
      <c r="A35" s="46" t="s">
        <v>3</v>
      </c>
      <c r="B35" s="47" t="s">
        <v>15</v>
      </c>
      <c r="C35" s="46" t="s">
        <v>7</v>
      </c>
      <c r="D35" s="46" t="s">
        <v>13</v>
      </c>
    </row>
    <row r="36" spans="1:9" x14ac:dyDescent="0.25">
      <c r="A36" s="5"/>
      <c r="B36" s="4"/>
      <c r="C36" s="9"/>
      <c r="D36" s="9"/>
    </row>
    <row r="37" spans="1:9" x14ac:dyDescent="0.25">
      <c r="A37" s="1"/>
      <c r="B37" s="2"/>
      <c r="C37" s="10"/>
      <c r="D37" s="10"/>
    </row>
    <row r="38" spans="1:9" x14ac:dyDescent="0.25">
      <c r="A38" s="1"/>
      <c r="B38" s="2"/>
      <c r="C38" s="10"/>
      <c r="D38" s="10"/>
      <c r="E38" s="20"/>
      <c r="F38" s="20"/>
      <c r="G38" s="20"/>
      <c r="H38" s="20"/>
      <c r="I38" s="20"/>
    </row>
    <row r="39" spans="1:9" ht="12.75" customHeight="1" x14ac:dyDescent="0.25">
      <c r="A39" s="1"/>
      <c r="B39" s="2"/>
      <c r="C39" s="10"/>
      <c r="D39" s="10"/>
      <c r="E39" s="20"/>
      <c r="F39" s="32"/>
      <c r="G39" s="33"/>
      <c r="H39" s="34"/>
      <c r="I39" s="20"/>
    </row>
    <row r="40" spans="1:9" ht="15" x14ac:dyDescent="0.25">
      <c r="A40" s="1"/>
      <c r="B40" s="2"/>
      <c r="C40" s="10"/>
      <c r="D40" s="10"/>
      <c r="E40" s="20"/>
      <c r="F40" s="35"/>
      <c r="G40" s="31"/>
      <c r="H40" s="31"/>
      <c r="I40" s="20"/>
    </row>
    <row r="41" spans="1:9" x14ac:dyDescent="0.25">
      <c r="A41" s="1"/>
      <c r="B41" s="2"/>
      <c r="C41" s="10"/>
      <c r="D41" s="10"/>
      <c r="E41" s="20"/>
      <c r="F41" s="37"/>
      <c r="G41" s="38"/>
      <c r="H41" s="38"/>
      <c r="I41" s="20"/>
    </row>
    <row r="42" spans="1:9" x14ac:dyDescent="0.25">
      <c r="A42" s="1"/>
      <c r="B42" s="2"/>
      <c r="C42" s="10"/>
      <c r="D42" s="10"/>
      <c r="E42" s="20"/>
      <c r="F42" s="37"/>
      <c r="G42" s="38"/>
      <c r="H42" s="38"/>
      <c r="I42" s="20"/>
    </row>
    <row r="43" spans="1:9" x14ac:dyDescent="0.25">
      <c r="A43" s="1"/>
      <c r="B43" s="2"/>
      <c r="C43" s="10"/>
      <c r="D43" s="10"/>
      <c r="E43" s="20"/>
      <c r="F43" s="37"/>
      <c r="G43" s="38"/>
      <c r="H43" s="38"/>
      <c r="I43" s="20"/>
    </row>
    <row r="44" spans="1:9" x14ac:dyDescent="0.25">
      <c r="A44" s="1"/>
      <c r="B44" s="2"/>
      <c r="C44" s="10"/>
      <c r="D44" s="10"/>
      <c r="E44" s="20"/>
      <c r="F44" s="37"/>
      <c r="G44" s="38"/>
      <c r="H44" s="38"/>
      <c r="I44" s="20"/>
    </row>
    <row r="45" spans="1:9" x14ac:dyDescent="0.25">
      <c r="A45" s="2"/>
      <c r="B45" s="2"/>
      <c r="C45" s="10"/>
      <c r="D45" s="10"/>
      <c r="E45" s="20"/>
      <c r="F45" s="37"/>
      <c r="G45" s="38"/>
      <c r="H45" s="38"/>
      <c r="I45" s="20"/>
    </row>
    <row r="46" spans="1:9" x14ac:dyDescent="0.25">
      <c r="A46" s="2"/>
      <c r="B46" s="2"/>
      <c r="C46" s="10"/>
      <c r="D46" s="10"/>
      <c r="E46" s="20"/>
      <c r="F46" s="37"/>
      <c r="G46" s="38"/>
      <c r="H46" s="38"/>
      <c r="I46" s="20"/>
    </row>
    <row r="47" spans="1:9" x14ac:dyDescent="0.25">
      <c r="A47" s="2"/>
      <c r="B47" s="2"/>
      <c r="C47" s="10"/>
      <c r="D47" s="10"/>
      <c r="E47" s="20"/>
      <c r="F47" s="37"/>
      <c r="G47" s="38"/>
      <c r="H47" s="38"/>
      <c r="I47" s="20"/>
    </row>
    <row r="48" spans="1:9" x14ac:dyDescent="0.25">
      <c r="A48" s="51"/>
      <c r="B48" s="51"/>
      <c r="C48" s="52"/>
      <c r="D48" s="52"/>
      <c r="E48" s="20"/>
      <c r="F48" s="37"/>
      <c r="G48" s="38"/>
      <c r="H48" s="38"/>
      <c r="I48" s="20"/>
    </row>
    <row r="49" spans="1:9" x14ac:dyDescent="0.25">
      <c r="A49" s="51"/>
      <c r="B49" s="51"/>
      <c r="C49" s="52"/>
      <c r="D49" s="52"/>
      <c r="E49" s="20"/>
      <c r="F49" s="39"/>
      <c r="G49" s="40"/>
      <c r="H49" s="40"/>
      <c r="I49" s="20"/>
    </row>
    <row r="50" spans="1:9" ht="15" thickBot="1" x14ac:dyDescent="0.35">
      <c r="A50" s="3"/>
      <c r="B50" s="3"/>
      <c r="C50" s="11"/>
      <c r="D50" s="11"/>
      <c r="E50" s="20"/>
      <c r="F50" s="41"/>
      <c r="G50" s="41"/>
      <c r="H50" s="41"/>
      <c r="I50" s="20"/>
    </row>
    <row r="51" spans="1:9" ht="14.25" thickBot="1" x14ac:dyDescent="0.3">
      <c r="A51" s="48" t="s">
        <v>22</v>
      </c>
      <c r="B51" s="48">
        <f>SUM(B36:B50)</f>
        <v>0</v>
      </c>
      <c r="C51" s="102" t="s">
        <v>61</v>
      </c>
      <c r="D51" s="49"/>
      <c r="E51" s="20"/>
      <c r="F51" s="20"/>
      <c r="G51" s="20"/>
      <c r="H51" s="20"/>
      <c r="I51" s="20"/>
    </row>
    <row r="52" spans="1:9" ht="15" thickBot="1" x14ac:dyDescent="0.35">
      <c r="A52" s="50"/>
      <c r="B52" s="50"/>
      <c r="C52" s="50"/>
      <c r="D52" s="50"/>
      <c r="E52" s="20"/>
      <c r="F52" s="20"/>
      <c r="G52" s="20"/>
      <c r="H52" s="20"/>
      <c r="I52" s="20"/>
    </row>
    <row r="53" spans="1:9" ht="18.75" thickBot="1" x14ac:dyDescent="0.3">
      <c r="A53" s="43" t="s">
        <v>14</v>
      </c>
      <c r="B53" s="44">
        <v>3</v>
      </c>
      <c r="C53" s="45" t="s">
        <v>23</v>
      </c>
      <c r="D53" s="54">
        <f>$D$34+7</f>
        <v>43633</v>
      </c>
      <c r="E53" s="20"/>
      <c r="F53" s="20"/>
      <c r="G53" s="20"/>
      <c r="H53" s="20"/>
      <c r="I53" s="20"/>
    </row>
    <row r="54" spans="1:9" ht="27.75" thickBot="1" x14ac:dyDescent="0.3">
      <c r="A54" s="46" t="s">
        <v>3</v>
      </c>
      <c r="B54" s="47" t="s">
        <v>15</v>
      </c>
      <c r="C54" s="46" t="s">
        <v>7</v>
      </c>
      <c r="D54" s="46" t="s">
        <v>13</v>
      </c>
    </row>
    <row r="55" spans="1:9" x14ac:dyDescent="0.25">
      <c r="A55" s="5"/>
      <c r="B55" s="4"/>
      <c r="C55" s="9"/>
      <c r="D55" s="9"/>
    </row>
    <row r="56" spans="1:9" x14ac:dyDescent="0.25">
      <c r="A56" s="1"/>
      <c r="B56" s="2"/>
      <c r="C56" s="10"/>
      <c r="D56" s="10"/>
    </row>
    <row r="57" spans="1:9" x14ac:dyDescent="0.25">
      <c r="A57" s="1"/>
      <c r="B57" s="2"/>
      <c r="C57" s="10"/>
      <c r="D57" s="10"/>
    </row>
    <row r="58" spans="1:9" x14ac:dyDescent="0.25">
      <c r="A58" s="1"/>
      <c r="B58" s="2"/>
      <c r="C58" s="10"/>
      <c r="D58" s="10"/>
    </row>
    <row r="59" spans="1:9" x14ac:dyDescent="0.25">
      <c r="A59" s="1"/>
      <c r="B59" s="2"/>
      <c r="C59" s="10"/>
      <c r="D59" s="10"/>
    </row>
    <row r="60" spans="1:9" x14ac:dyDescent="0.25">
      <c r="A60" s="1"/>
      <c r="B60" s="2"/>
      <c r="C60" s="10"/>
      <c r="D60" s="10"/>
    </row>
    <row r="61" spans="1:9" x14ac:dyDescent="0.25">
      <c r="A61" s="1"/>
      <c r="B61" s="2"/>
      <c r="C61" s="10"/>
      <c r="D61" s="10"/>
    </row>
    <row r="62" spans="1:9" x14ac:dyDescent="0.25">
      <c r="A62" s="1"/>
      <c r="B62" s="2"/>
      <c r="C62" s="10"/>
      <c r="D62" s="10"/>
    </row>
    <row r="63" spans="1:9" x14ac:dyDescent="0.25">
      <c r="A63" s="1"/>
      <c r="B63" s="2"/>
      <c r="C63" s="10"/>
      <c r="D63" s="10"/>
    </row>
    <row r="64" spans="1:9" x14ac:dyDescent="0.25">
      <c r="A64" s="2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51"/>
      <c r="B67" s="51"/>
      <c r="C67" s="52"/>
      <c r="D67" s="52"/>
    </row>
    <row r="68" spans="1:4" x14ac:dyDescent="0.25">
      <c r="A68" s="51"/>
      <c r="B68" s="51"/>
      <c r="C68" s="52"/>
      <c r="D68" s="52"/>
    </row>
    <row r="69" spans="1:4" ht="14.25" thickBot="1" x14ac:dyDescent="0.3">
      <c r="A69" s="3"/>
      <c r="B69" s="3"/>
      <c r="C69" s="11"/>
      <c r="D69" s="11"/>
    </row>
    <row r="70" spans="1:4" ht="14.25" thickBot="1" x14ac:dyDescent="0.3">
      <c r="A70" s="48" t="s">
        <v>22</v>
      </c>
      <c r="B70" s="48">
        <f>SUM(B55:B69)</f>
        <v>0</v>
      </c>
      <c r="C70" s="102" t="s">
        <v>61</v>
      </c>
      <c r="D70" s="49"/>
    </row>
    <row r="71" spans="1:4" ht="15" thickBot="1" x14ac:dyDescent="0.35">
      <c r="A71" s="50"/>
      <c r="B71" s="50"/>
      <c r="C71" s="50"/>
      <c r="D71" s="50"/>
    </row>
    <row r="72" spans="1:4" ht="18.75" thickBot="1" x14ac:dyDescent="0.3">
      <c r="A72" s="43" t="s">
        <v>14</v>
      </c>
      <c r="B72" s="44">
        <v>4</v>
      </c>
      <c r="C72" s="45" t="s">
        <v>23</v>
      </c>
      <c r="D72" s="54">
        <f>$D$53+7</f>
        <v>43640</v>
      </c>
    </row>
    <row r="73" spans="1:4" ht="27.75" thickBot="1" x14ac:dyDescent="0.3">
      <c r="A73" s="46" t="s">
        <v>3</v>
      </c>
      <c r="B73" s="47" t="s">
        <v>15</v>
      </c>
      <c r="C73" s="46" t="s">
        <v>7</v>
      </c>
      <c r="D73" s="46" t="s">
        <v>13</v>
      </c>
    </row>
    <row r="74" spans="1:4" x14ac:dyDescent="0.25">
      <c r="A74" s="5"/>
      <c r="B74" s="4"/>
      <c r="C74" s="9"/>
      <c r="D74" s="9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2"/>
      <c r="B83" s="2"/>
      <c r="C83" s="10"/>
      <c r="D83" s="10"/>
    </row>
    <row r="84" spans="1:4" x14ac:dyDescent="0.25">
      <c r="A84" s="2"/>
      <c r="B84" s="2"/>
      <c r="C84" s="10"/>
      <c r="D84" s="10"/>
    </row>
    <row r="85" spans="1:4" x14ac:dyDescent="0.25">
      <c r="A85" s="2"/>
      <c r="B85" s="2"/>
      <c r="C85" s="10"/>
      <c r="D85" s="10"/>
    </row>
    <row r="86" spans="1:4" x14ac:dyDescent="0.25">
      <c r="A86" s="51"/>
      <c r="B86" s="51"/>
      <c r="C86" s="52"/>
      <c r="D86" s="52"/>
    </row>
    <row r="87" spans="1:4" x14ac:dyDescent="0.25">
      <c r="A87" s="51"/>
      <c r="B87" s="51"/>
      <c r="C87" s="52"/>
      <c r="D87" s="52"/>
    </row>
    <row r="88" spans="1:4" ht="14.25" thickBot="1" x14ac:dyDescent="0.3">
      <c r="A88" s="3"/>
      <c r="B88" s="3"/>
      <c r="C88" s="11"/>
      <c r="D88" s="11"/>
    </row>
    <row r="89" spans="1:4" ht="14.25" thickBot="1" x14ac:dyDescent="0.3">
      <c r="A89" s="48" t="s">
        <v>22</v>
      </c>
      <c r="B89" s="48">
        <f>SUM(B74:B88)</f>
        <v>0</v>
      </c>
      <c r="C89" s="102" t="s">
        <v>61</v>
      </c>
      <c r="D89" s="49"/>
    </row>
    <row r="90" spans="1:4" ht="15" thickBot="1" x14ac:dyDescent="0.35">
      <c r="A90" s="50"/>
      <c r="B90" s="50"/>
      <c r="C90" s="50"/>
      <c r="D90" s="50"/>
    </row>
    <row r="91" spans="1:4" ht="18.75" thickBot="1" x14ac:dyDescent="0.3">
      <c r="A91" s="43" t="s">
        <v>14</v>
      </c>
      <c r="B91" s="44">
        <v>5</v>
      </c>
      <c r="C91" s="45" t="s">
        <v>23</v>
      </c>
      <c r="D91" s="54">
        <f>$D$72+7</f>
        <v>43647</v>
      </c>
    </row>
    <row r="92" spans="1:4" ht="27.75" thickBot="1" x14ac:dyDescent="0.3">
      <c r="A92" s="46" t="s">
        <v>3</v>
      </c>
      <c r="B92" s="47" t="s">
        <v>15</v>
      </c>
      <c r="C92" s="46" t="s">
        <v>7</v>
      </c>
      <c r="D92" s="46" t="s">
        <v>13</v>
      </c>
    </row>
    <row r="93" spans="1:4" x14ac:dyDescent="0.25">
      <c r="A93" s="5"/>
      <c r="B93" s="4"/>
      <c r="C93" s="9"/>
      <c r="D93" s="9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2"/>
      <c r="B103" s="2"/>
      <c r="C103" s="10"/>
      <c r="D103" s="10"/>
    </row>
    <row r="104" spans="1:4" x14ac:dyDescent="0.25">
      <c r="A104" s="2"/>
      <c r="B104" s="2"/>
      <c r="C104" s="10"/>
      <c r="D104" s="10"/>
    </row>
    <row r="105" spans="1:4" x14ac:dyDescent="0.25">
      <c r="A105" s="51"/>
      <c r="B105" s="51"/>
      <c r="C105" s="52"/>
      <c r="D105" s="52"/>
    </row>
    <row r="106" spans="1:4" x14ac:dyDescent="0.25">
      <c r="A106" s="51"/>
      <c r="B106" s="51"/>
      <c r="C106" s="52"/>
      <c r="D106" s="52"/>
    </row>
    <row r="107" spans="1:4" ht="14.25" thickBot="1" x14ac:dyDescent="0.3">
      <c r="A107" s="3"/>
      <c r="B107" s="3"/>
      <c r="C107" s="11"/>
      <c r="D107" s="11"/>
    </row>
    <row r="108" spans="1:4" ht="14.25" thickBot="1" x14ac:dyDescent="0.3">
      <c r="A108" s="48" t="s">
        <v>22</v>
      </c>
      <c r="B108" s="48">
        <f>SUM(B93:B107)</f>
        <v>0</v>
      </c>
      <c r="C108" s="102" t="s">
        <v>61</v>
      </c>
      <c r="D108" s="49"/>
    </row>
    <row r="109" spans="1:4" ht="14.25" x14ac:dyDescent="0.3">
      <c r="A109" s="50"/>
      <c r="B109" s="50"/>
      <c r="C109" s="50"/>
      <c r="D109" s="50"/>
    </row>
    <row r="110" spans="1:4" x14ac:dyDescent="0.25">
      <c r="A110" s="101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9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1:F48 B3:B31 B36:B50 B55:B69 B74:B88 B93:B10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51 B70 B89 B108">
      <formula1>0</formula1>
      <formula2>NbPerWeek * NbQuartPer</formula2>
    </dataValidation>
    <dataValidation type="list" allowBlank="1" showInputMessage="1" showErrorMessage="1" sqref="A3:A31 A36:A50 A55:A69 A74:A88 A93:A10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Levêque Loris</dc:creator>
  <cp:lastModifiedBy>Levêque Loris</cp:lastModifiedBy>
  <cp:lastPrinted>2013-08-29T11:33:15Z</cp:lastPrinted>
  <dcterms:created xsi:type="dcterms:W3CDTF">1996-10-21T11:03:58Z</dcterms:created>
  <dcterms:modified xsi:type="dcterms:W3CDTF">2019-06-04T14:35:21Z</dcterms:modified>
</cp:coreProperties>
</file>